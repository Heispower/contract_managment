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7945" windowHeight="12375" tabRatio="686" activeTab="3"/>
  </bookViews>
  <sheets>
    <sheet name="使用说明" sheetId="3" r:id="rId1"/>
    <sheet name="客商台账" sheetId="1" r:id="rId2"/>
    <sheet name="计划台账" sheetId="25" r:id="rId3"/>
    <sheet name="合同台账" sheetId="2" r:id="rId4"/>
    <sheet name="客商" sheetId="4" r:id="rId5"/>
    <sheet name="公司管理" sheetId="8" state="hidden" r:id="rId6"/>
    <sheet name="资金账户" sheetId="9" state="hidden" r:id="rId7"/>
    <sheet name="合同类型" sheetId="10" state="hidden" r:id="rId8"/>
    <sheet name="采购计划" sheetId="11" r:id="rId9"/>
    <sheet name="商品" sheetId="12" state="hidden" r:id="rId10"/>
    <sheet name="采购订单" sheetId="13" state="hidden" r:id="rId11"/>
    <sheet name="销售订单" sheetId="14" state="hidden" r:id="rId12"/>
    <sheet name="进项发票" sheetId="15" r:id="rId13"/>
    <sheet name="销项发票" sheetId="16" state="hidden" r:id="rId14"/>
    <sheet name="付款单" sheetId="17" state="hidden" r:id="rId15"/>
    <sheet name="收款单" sheetId="18" state="hidden" r:id="rId16"/>
    <sheet name="入仓单" sheetId="19" state="hidden" r:id="rId17"/>
    <sheet name="发票" sheetId="26" r:id="rId18"/>
    <sheet name="采购合同" sheetId="20" r:id="rId19"/>
    <sheet name="销售HT" sheetId="21" r:id="rId20"/>
    <sheet name="报关物料" sheetId="22" r:id="rId21"/>
    <sheet name="项目" sheetId="5" r:id="rId22"/>
    <sheet name="HSCode库" sheetId="6" r:id="rId23"/>
    <sheet name="汇率库" sheetId="7" r:id="rId24"/>
    <sheet name="导入结果" sheetId="23" r:id="rId25"/>
    <sheet name="字段库" sheetId="24" state="hidden" r:id="rId26"/>
  </sheets>
  <definedNames>
    <definedName name="_xlnm._FilterDatabase" localSheetId="1" hidden="1">客商台账!$A$1:$X$90</definedName>
    <definedName name="_xlnm._FilterDatabase" localSheetId="4" hidden="1">客商!$A$1:$X$7</definedName>
    <definedName name="_xlnm._FilterDatabase" localSheetId="5" hidden="1">公司管理!$A$1:$V$1</definedName>
    <definedName name="_xlnm._FilterDatabase" localSheetId="6" hidden="1">资金账户!$A$1:$D$1</definedName>
    <definedName name="_xlnm._FilterDatabase" localSheetId="7" hidden="1">合同类型!$A$1:$D$1</definedName>
    <definedName name="_xlnm._FilterDatabase" localSheetId="8" hidden="1">采购计划!$D$1:$O$60</definedName>
    <definedName name="_xlnm._FilterDatabase" localSheetId="9" hidden="1">商品!$A$1:$F$1</definedName>
    <definedName name="_xlnm._FilterDatabase" localSheetId="10" hidden="1">采购订单!$A$1:$G$1</definedName>
    <definedName name="_xlnm._FilterDatabase" localSheetId="11" hidden="1">销售订单!$A$1:$G$1</definedName>
    <definedName name="_xlnm._FilterDatabase" localSheetId="12" hidden="1">进项发票!$A$1:$N$5</definedName>
    <definedName name="_xlnm._FilterDatabase" localSheetId="13" hidden="1">销项发票!$A$1:$N$1</definedName>
    <definedName name="_xlnm._FilterDatabase" localSheetId="14" hidden="1">付款单!$A$1:$I$1</definedName>
    <definedName name="_xlnm._FilterDatabase" localSheetId="15" hidden="1">收款单!$A$1:$I$1</definedName>
    <definedName name="_xlnm._FilterDatabase" localSheetId="16" hidden="1">入仓单!$A$1:$AK$1</definedName>
    <definedName name="_xlnm._FilterDatabase" localSheetId="17" hidden="1">发票!$A$1:$N$2</definedName>
    <definedName name="_xlnm._FilterDatabase" localSheetId="20" hidden="1">报关物料!$A$4:$AH$22</definedName>
    <definedName name="_xlnm._FilterDatabase" localSheetId="21" hidden="1">项目!$A$1:$J$1</definedName>
    <definedName name="_xlnm._FilterDatabase" localSheetId="22" hidden="1">HSCode库!$A$1:$G$1</definedName>
    <definedName name="_xlnm._FilterDatabase" localSheetId="23" hidden="1">汇率库!$A$1:$E$2</definedName>
    <definedName name="_xlnm._FilterDatabase" localSheetId="2" hidden="1">计划台账!$A$1:$T$1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关键字段，不能删除这一列。单元格可以按行留空的，只限于非关键列。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不需要的列可以直接删除。不能改成字段库里没有的名字。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不需要的列可以直接删除。不能改成字段库里没有的名字。</t>
        </r>
      </text>
    </comment>
    <comment ref="L1" authorId="0">
      <text>
        <r>
          <rPr>
            <sz val="10"/>
            <rFont val="宋体"/>
            <charset val="134"/>
          </rPr>
          <t>不需要的列可以直接删除。不能改成字段库里没有的名字。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 ref="O1" authorId="0">
      <text>
        <r>
          <rPr>
            <sz val="10"/>
            <rFont val="宋体"/>
            <charset val="134"/>
          </rPr>
          <t>不需要的列可以直接删除。不能改成字段库里没有的名字。</t>
        </r>
      </text>
    </comment>
    <comment ref="P1" authorId="0">
      <text>
        <r>
          <rPr>
            <sz val="10"/>
            <rFont val="宋体"/>
            <charset val="134"/>
          </rPr>
          <t>不需要的列可以直接删除。不能改成字段库里没有的名字。</t>
        </r>
      </text>
    </comment>
    <comment ref="Q1" authorId="0">
      <text>
        <r>
          <rPr>
            <sz val="10"/>
            <rFont val="宋体"/>
            <charset val="134"/>
          </rPr>
          <t>不需要的列可以直接删除。不能改成字段库里没有的名字。</t>
        </r>
      </text>
    </comment>
    <comment ref="R1" authorId="0">
      <text>
        <r>
          <rPr>
            <sz val="10"/>
            <rFont val="宋体"/>
            <charset val="134"/>
          </rPr>
          <t>不需要的列可以直接删除。不能改成字段库里没有的名字。</t>
        </r>
      </text>
    </comment>
    <comment ref="S1" authorId="0">
      <text>
        <r>
          <rPr>
            <sz val="10"/>
            <rFont val="宋体"/>
            <charset val="134"/>
          </rPr>
          <t>不需要的列可以直接删除。不能改成字段库里没有的名字。</t>
        </r>
      </text>
    </comment>
    <comment ref="T1" authorId="0">
      <text>
        <r>
          <rPr>
            <sz val="10"/>
            <rFont val="宋体"/>
            <charset val="134"/>
          </rPr>
          <t>不需要的列可以直接删除。不能改成字段库里没有的名字。</t>
        </r>
      </text>
    </comment>
    <comment ref="U1" authorId="0">
      <text>
        <r>
          <rPr>
            <sz val="10"/>
            <rFont val="宋体"/>
            <charset val="134"/>
          </rPr>
          <t>不需要的列可以直接删除。不能改成字段库里没有的名字。</t>
        </r>
      </text>
    </comment>
    <comment ref="V1" authorId="0">
      <text>
        <r>
          <rPr>
            <sz val="10"/>
            <rFont val="宋体"/>
            <charset val="134"/>
          </rPr>
          <t>不需要的列可以直接删除。不能改成字段库里没有的名字。</t>
        </r>
      </text>
    </comment>
    <comment ref="W1" authorId="0">
      <text>
        <r>
          <rPr>
            <sz val="10"/>
            <rFont val="宋体"/>
            <charset val="134"/>
          </rPr>
          <t>不需要的列可以直接删除。不能改成字段库里没有的名字。</t>
        </r>
      </text>
    </comment>
    <comment ref="X1" authorId="0">
      <text>
        <r>
          <rPr>
            <sz val="10"/>
            <rFont val="宋体"/>
            <charset val="134"/>
          </rPr>
          <t>不需要的列可以直接删除。不能改成字段库里没有的名字。</t>
        </r>
      </text>
    </comment>
  </commentList>
</comments>
</file>

<file path=xl/comments2.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关键字段，不能删除这一列。单元格可以按行留空的，只限于非关键列。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不需要的列可以直接删除。不能改成字段库里没有的名字。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不需要的列可以直接删除。不能改成字段库里没有的名字。</t>
        </r>
      </text>
    </comment>
    <comment ref="L1" authorId="0">
      <text>
        <r>
          <rPr>
            <sz val="10"/>
            <rFont val="宋体"/>
            <charset val="134"/>
          </rPr>
          <t>不需要的列可以直接删除。不能改成字段库里没有的名字。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 ref="O1" authorId="0">
      <text>
        <r>
          <rPr>
            <sz val="10"/>
            <rFont val="宋体"/>
            <charset val="134"/>
          </rPr>
          <t>不需要的列可以直接删除。不能改成字段库里没有的名字。</t>
        </r>
      </text>
    </comment>
    <comment ref="P1" authorId="0">
      <text>
        <r>
          <rPr>
            <sz val="10"/>
            <rFont val="宋体"/>
            <charset val="134"/>
          </rPr>
          <t>不需要的列可以直接删除。不能改成字段库里没有的名字。</t>
        </r>
      </text>
    </comment>
    <comment ref="Q1" authorId="0">
      <text>
        <r>
          <rPr>
            <sz val="10"/>
            <rFont val="宋体"/>
            <charset val="134"/>
          </rPr>
          <t>不需要的列可以直接删除。不能改成字段库里没有的名字。</t>
        </r>
      </text>
    </comment>
    <comment ref="R1" authorId="0">
      <text>
        <r>
          <rPr>
            <sz val="10"/>
            <rFont val="宋体"/>
            <charset val="134"/>
          </rPr>
          <t>不需要的列可以直接删除。不能改成字段库里没有的名字。</t>
        </r>
      </text>
    </comment>
    <comment ref="S1" authorId="0">
      <text>
        <r>
          <rPr>
            <sz val="10"/>
            <rFont val="宋体"/>
            <charset val="134"/>
          </rPr>
          <t>不需要的列可以直接删除。不能改成字段库里没有的名字。</t>
        </r>
      </text>
    </comment>
    <comment ref="T1" authorId="0">
      <text>
        <r>
          <rPr>
            <sz val="10"/>
            <rFont val="宋体"/>
            <charset val="134"/>
          </rPr>
          <t>不需要的列可以直接删除。不能改成字段库里没有的名字。</t>
        </r>
      </text>
    </comment>
    <comment ref="U1" authorId="0">
      <text>
        <r>
          <rPr>
            <sz val="10"/>
            <rFont val="宋体"/>
            <charset val="134"/>
          </rPr>
          <t>不需要的列可以直接删除。不能改成字段库里没有的名字。</t>
        </r>
      </text>
    </comment>
    <comment ref="V1" authorId="0">
      <text>
        <r>
          <rPr>
            <sz val="10"/>
            <rFont val="宋体"/>
            <charset val="134"/>
          </rPr>
          <t>不需要的列可以直接删除。不能改成字段库里没有的名字。</t>
        </r>
      </text>
    </comment>
    <comment ref="W1" authorId="0">
      <text>
        <r>
          <rPr>
            <sz val="10"/>
            <rFont val="宋体"/>
            <charset val="134"/>
          </rPr>
          <t>不需要的列可以直接删除。不能改成字段库里没有的名字。</t>
        </r>
      </text>
    </comment>
    <comment ref="X1" authorId="0">
      <text>
        <r>
          <rPr>
            <sz val="10"/>
            <rFont val="宋体"/>
            <charset val="134"/>
          </rPr>
          <t>不需要的列可以直接删除。不能改成字段库里没有的名字。</t>
        </r>
      </text>
    </comment>
  </commentList>
</comments>
</file>

<file path=xl/comments3.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不需要的列可以直接删除。不能改成字段库里没有的名字。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不需要的列可以直接删除。不能改成字段库里没有的名字。</t>
        </r>
      </text>
    </comment>
    <comment ref="L1" authorId="0">
      <text>
        <r>
          <rPr>
            <sz val="10"/>
            <rFont val="宋体"/>
            <charset val="134"/>
          </rPr>
          <t>不需要的列可以直接删除。不能改成字段库里没有的名字。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 ref="O1" authorId="0">
      <text>
        <r>
          <rPr>
            <sz val="10"/>
            <rFont val="宋体"/>
            <charset val="134"/>
          </rPr>
          <t>不需要的列可以直接删除。不能改成字段库里没有的名字。</t>
        </r>
      </text>
    </comment>
    <comment ref="P1" authorId="0">
      <text>
        <r>
          <rPr>
            <sz val="10"/>
            <rFont val="宋体"/>
            <charset val="134"/>
          </rPr>
          <t>不需要的列可以直接删除。不能改成字段库里没有的名字。</t>
        </r>
      </text>
    </comment>
    <comment ref="Q1" authorId="0">
      <text>
        <r>
          <rPr>
            <sz val="10"/>
            <rFont val="宋体"/>
            <charset val="134"/>
          </rPr>
          <t>不需要的列可以直接删除。不能改成字段库里没有的名字。</t>
        </r>
      </text>
    </comment>
    <comment ref="R1" authorId="0">
      <text>
        <r>
          <rPr>
            <sz val="10"/>
            <rFont val="宋体"/>
            <charset val="134"/>
          </rPr>
          <t>不需要的列可以直接删除。不能改成字段库里没有的名字。</t>
        </r>
      </text>
    </comment>
    <comment ref="S1" authorId="0">
      <text>
        <r>
          <rPr>
            <sz val="10"/>
            <rFont val="宋体"/>
            <charset val="134"/>
          </rPr>
          <t>不需要的列可以直接删除。不能改成字段库里没有的名字。</t>
        </r>
      </text>
    </comment>
    <comment ref="T1" authorId="0">
      <text>
        <r>
          <rPr>
            <sz val="10"/>
            <rFont val="宋体"/>
            <charset val="134"/>
          </rPr>
          <t>不需要的列可以直接删除。不能改成字段库里没有的名字。</t>
        </r>
      </text>
    </comment>
    <comment ref="U1" authorId="0">
      <text>
        <r>
          <rPr>
            <sz val="10"/>
            <rFont val="宋体"/>
            <charset val="134"/>
          </rPr>
          <t>不需要的列可以直接删除。不能改成字段库里没有的名字。</t>
        </r>
      </text>
    </comment>
    <comment ref="V1" authorId="0">
      <text>
        <r>
          <rPr>
            <sz val="10"/>
            <rFont val="宋体"/>
            <charset val="134"/>
          </rPr>
          <t>不需要的列可以直接删除。不能改成字段库里没有的名字。</t>
        </r>
      </text>
    </comment>
  </commentList>
</comments>
</file>

<file path=xl/comments4.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List>
</comments>
</file>

<file path=xl/comments5.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List>
</comments>
</file>

<file path=xl/comments6.xml><?xml version="1.0" encoding="utf-8"?>
<comments xmlns="http://schemas.openxmlformats.org/spreadsheetml/2006/main">
  <authors>
    <author>传输</author>
  </authors>
  <commentList>
    <comment ref="D1" authorId="0">
      <text>
        <r>
          <rPr>
            <sz val="10"/>
            <rFont val="宋体"/>
            <charset val="134"/>
          </rPr>
          <t>关键字段，不能删除这一列。单元格可以按行留空的，只限于非关键列。</t>
        </r>
      </text>
    </comment>
    <comment ref="E1" authorId="0">
      <text>
        <r>
          <rPr>
            <sz val="10"/>
            <rFont val="宋体"/>
            <charset val="134"/>
          </rPr>
          <t>关键字段，不能删除这一列。单元格可以按行留空的，只限于非关键列。</t>
        </r>
      </text>
    </comment>
    <comment ref="F1" authorId="0">
      <text>
        <r>
          <rPr>
            <sz val="10"/>
            <rFont val="宋体"/>
            <charset val="134"/>
          </rPr>
          <t>不需要的列可以直接删除。不能改成字段库里没有的名字。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关键字段，不能删除这一列。单元格可以按行留空的，只限于非关键列。</t>
        </r>
      </text>
    </comment>
    <comment ref="J1" authorId="0">
      <text>
        <r>
          <rPr>
            <sz val="10"/>
            <rFont val="宋体"/>
            <charset val="134"/>
          </rPr>
          <t>不需要的列可以直接删除。不能改成字段库里没有的名字。</t>
        </r>
      </text>
    </comment>
    <comment ref="K1" authorId="0">
      <text>
        <r>
          <rPr>
            <sz val="10"/>
            <rFont val="宋体"/>
            <charset val="134"/>
          </rPr>
          <t>不需要的列可以直接删除。不能改成字段库里没有的名字。</t>
        </r>
      </text>
    </comment>
    <comment ref="L1" authorId="0">
      <text>
        <r>
          <rPr>
            <sz val="10"/>
            <rFont val="宋体"/>
            <charset val="134"/>
          </rPr>
          <t>不需要的列可以直接删除。不能改成字段库里没有的名字。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 ref="O1" authorId="0">
      <text>
        <r>
          <rPr>
            <sz val="10"/>
            <rFont val="宋体"/>
            <charset val="134"/>
          </rPr>
          <t>不需要的列可以直接删除。不能改成字段库里没有的名字。</t>
        </r>
      </text>
    </comment>
  </commentList>
</comments>
</file>

<file path=xl/comments7.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关键字段，不能删除这一列。单元格可以按行留空的，只限于非关键列。</t>
        </r>
      </text>
    </comment>
    <comment ref="E1" authorId="0">
      <text>
        <r>
          <rPr>
            <sz val="10"/>
            <rFont val="宋体"/>
            <charset val="134"/>
          </rPr>
          <t>不需要的列可以直接删除。不能改成字段库里没有的名字。</t>
        </r>
      </text>
    </comment>
    <comment ref="F1" authorId="0">
      <text>
        <r>
          <rPr>
            <sz val="10"/>
            <rFont val="宋体"/>
            <charset val="134"/>
          </rPr>
          <t>不需要的列可以直接删除。不能改成字段库里没有的名字。</t>
        </r>
      </text>
    </comment>
  </commentList>
</comments>
</file>

<file path=xl/comments8.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关键字段，不能删除这一列。单元格可以按行留空的，只限于非关键列。</t>
        </r>
      </text>
    </comment>
    <comment ref="F1" authorId="0">
      <text>
        <r>
          <rPr>
            <sz val="10"/>
            <rFont val="宋体"/>
            <charset val="134"/>
          </rPr>
          <t>关键字段，不能删除这一列。单元格可以按行留空的，只限于非关键列。</t>
        </r>
      </text>
    </comment>
    <comment ref="G1" authorId="0">
      <text>
        <r>
          <rPr>
            <sz val="10"/>
            <rFont val="宋体"/>
            <charset val="134"/>
          </rPr>
          <t>关键字段，不能删除这一列。单元格可以按行留空的，只限于非关键列。</t>
        </r>
      </text>
    </comment>
  </commentList>
</comments>
</file>

<file path=xl/comments9.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关键字段，不能删除这一列。单元格可以按行留空的，只限于非关键列。</t>
        </r>
      </text>
    </comment>
    <comment ref="F1" authorId="0">
      <text>
        <r>
          <rPr>
            <sz val="10"/>
            <rFont val="宋体"/>
            <charset val="134"/>
          </rPr>
          <t>关键字段，不能删除这一列。单元格可以按行留空的，只限于非关键列。</t>
        </r>
      </text>
    </comment>
    <comment ref="G1" authorId="0">
      <text>
        <r>
          <rPr>
            <sz val="10"/>
            <rFont val="宋体"/>
            <charset val="134"/>
          </rPr>
          <t>关键字段，不能删除这一列。单元格可以按行留空的，只限于非关键列。</t>
        </r>
      </text>
    </comment>
  </commentList>
</comments>
</file>

<file path=xl/comments10.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关键字段，不能删除这一列。单元格可以按行留空的，只限于非关键列。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关键字段，不能删除这一列。单元格可以按行留空的，只限于非关键列。</t>
        </r>
      </text>
    </comment>
    <comment ref="L1" authorId="0">
      <text>
        <r>
          <rPr>
            <sz val="10"/>
            <rFont val="宋体"/>
            <charset val="134"/>
          </rPr>
          <t>关键字段，不能删除这一列。单元格可以按行留空的，只限于非关键列。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List>
</comments>
</file>

<file path=xl/comments11.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关键字段，不能删除这一列。单元格可以按行留空的，只限于非关键列。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关键字段，不能删除这一列。单元格可以按行留空的，只限于非关键列。</t>
        </r>
      </text>
    </comment>
    <comment ref="L1" authorId="0">
      <text>
        <r>
          <rPr>
            <sz val="10"/>
            <rFont val="宋体"/>
            <charset val="134"/>
          </rPr>
          <t>关键字段，不能删除这一列。单元格可以按行留空的，只限于非关键列。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List>
</comments>
</file>

<file path=xl/comments12.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不需要的列可以直接删除。不能改成字段库里没有的名字。</t>
        </r>
      </text>
    </comment>
    <comment ref="C1" authorId="0">
      <text>
        <r>
          <rPr>
            <sz val="10"/>
            <rFont val="宋体"/>
            <charset val="134"/>
          </rPr>
          <t>不需要的列可以直接删除。不能改成字段库里没有的名字。</t>
        </r>
      </text>
    </comment>
    <comment ref="D1" authorId="0">
      <text>
        <r>
          <rPr>
            <sz val="10"/>
            <rFont val="宋体"/>
            <charset val="134"/>
          </rPr>
          <t>关键字段，不能删除这一列。单元格可以按行留空的，只限于非关键列。</t>
        </r>
      </text>
    </comment>
    <comment ref="E1" authorId="0">
      <text>
        <r>
          <rPr>
            <sz val="10"/>
            <rFont val="宋体"/>
            <charset val="134"/>
          </rPr>
          <t>关键字段，不能删除这一列。单元格可以按行留空的，只限于非关键列。</t>
        </r>
      </text>
    </comment>
    <comment ref="F1" authorId="0">
      <text>
        <r>
          <rPr>
            <sz val="10"/>
            <rFont val="宋体"/>
            <charset val="134"/>
          </rPr>
          <t>关键字段，不能删除这一列。单元格可以按行留空的，只限于非关键列。</t>
        </r>
      </text>
    </comment>
    <comment ref="G1" authorId="0">
      <text>
        <r>
          <rPr>
            <sz val="10"/>
            <rFont val="宋体"/>
            <charset val="134"/>
          </rPr>
          <t>关键字段，不能删除这一列。单元格可以按行留空的，只限于非关键列。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List>
</comments>
</file>

<file path=xl/comments13.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不需要的列可以直接删除。不能改成字段库里没有的名字。</t>
        </r>
      </text>
    </comment>
    <comment ref="C1" authorId="0">
      <text>
        <r>
          <rPr>
            <sz val="10"/>
            <rFont val="宋体"/>
            <charset val="134"/>
          </rPr>
          <t>不需要的列可以直接删除。不能改成字段库里没有的名字。</t>
        </r>
      </text>
    </comment>
    <comment ref="D1" authorId="0">
      <text>
        <r>
          <rPr>
            <sz val="10"/>
            <rFont val="宋体"/>
            <charset val="134"/>
          </rPr>
          <t>关键字段，不能删除这一列。单元格可以按行留空的，只限于非关键列。</t>
        </r>
      </text>
    </comment>
    <comment ref="E1" authorId="0">
      <text>
        <r>
          <rPr>
            <sz val="10"/>
            <rFont val="宋体"/>
            <charset val="134"/>
          </rPr>
          <t>关键字段，不能删除这一列。单元格可以按行留空的，只限于非关键列。</t>
        </r>
      </text>
    </comment>
    <comment ref="F1" authorId="0">
      <text>
        <r>
          <rPr>
            <sz val="10"/>
            <rFont val="宋体"/>
            <charset val="134"/>
          </rPr>
          <t>关键字段，不能删除这一列。单元格可以按行留空的，只限于非关键列。</t>
        </r>
      </text>
    </comment>
    <comment ref="G1" authorId="0">
      <text>
        <r>
          <rPr>
            <sz val="10"/>
            <rFont val="宋体"/>
            <charset val="134"/>
          </rPr>
          <t>关键字段，不能删除这一列。单元格可以按行留空的，只限于非关键列。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List>
</comments>
</file>

<file path=xl/comments14.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不需要的列可以直接删除。不能改成字段库里没有的名字。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关键字段，不能删除这一列。单元格可以按行留空的，只限于非关键列。</t>
        </r>
      </text>
    </comment>
    <comment ref="G1" authorId="0">
      <text>
        <r>
          <rPr>
            <sz val="10"/>
            <rFont val="宋体"/>
            <charset val="134"/>
          </rPr>
          <t>关键字段，不能删除这一列。单元格可以按行留空的，只限于非关键列。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关键字段，不能删除这一列。单元格可以按行留空的，只限于非关键列。</t>
        </r>
      </text>
    </comment>
    <comment ref="L1" authorId="0">
      <text>
        <r>
          <rPr>
            <sz val="10"/>
            <rFont val="宋体"/>
            <charset val="134"/>
          </rPr>
          <t>不需要的列可以直接删除。不能改成字段库里没有的名字。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 ref="O1" authorId="0">
      <text>
        <r>
          <rPr>
            <sz val="10"/>
            <rFont val="宋体"/>
            <charset val="134"/>
          </rPr>
          <t>不需要的列可以直接删除。不能改成字段库里没有的名字。</t>
        </r>
      </text>
    </comment>
    <comment ref="P1" authorId="0">
      <text>
        <r>
          <rPr>
            <sz val="10"/>
            <rFont val="宋体"/>
            <charset val="134"/>
          </rPr>
          <t>不需要的列可以直接删除。不能改成字段库里没有的名字。</t>
        </r>
      </text>
    </comment>
    <comment ref="Q1" authorId="0">
      <text>
        <r>
          <rPr>
            <sz val="10"/>
            <rFont val="宋体"/>
            <charset val="134"/>
          </rPr>
          <t>不需要的列可以直接删除。不能改成字段库里没有的名字。</t>
        </r>
      </text>
    </comment>
    <comment ref="R1" authorId="0">
      <text>
        <r>
          <rPr>
            <sz val="10"/>
            <rFont val="宋体"/>
            <charset val="134"/>
          </rPr>
          <t>不需要的列可以直接删除。不能改成字段库里没有的名字。</t>
        </r>
      </text>
    </comment>
    <comment ref="S1" authorId="0">
      <text>
        <r>
          <rPr>
            <sz val="10"/>
            <rFont val="宋体"/>
            <charset val="134"/>
          </rPr>
          <t>不需要的列可以直接删除。不能改成字段库里没有的名字。</t>
        </r>
      </text>
    </comment>
    <comment ref="T1" authorId="0">
      <text>
        <r>
          <rPr>
            <sz val="10"/>
            <rFont val="宋体"/>
            <charset val="134"/>
          </rPr>
          <t>不需要的列可以直接删除。不能改成字段库里没有的名字。</t>
        </r>
      </text>
    </comment>
    <comment ref="U1" authorId="0">
      <text>
        <r>
          <rPr>
            <sz val="10"/>
            <rFont val="宋体"/>
            <charset val="134"/>
          </rPr>
          <t>不需要的列可以直接删除。不能改成字段库里没有的名字。</t>
        </r>
      </text>
    </comment>
    <comment ref="V1" authorId="0">
      <text>
        <r>
          <rPr>
            <sz val="10"/>
            <rFont val="宋体"/>
            <charset val="134"/>
          </rPr>
          <t>不需要的列可以直接删除。不能改成字段库里没有的名字。</t>
        </r>
      </text>
    </comment>
    <comment ref="W1" authorId="0">
      <text>
        <r>
          <rPr>
            <sz val="10"/>
            <rFont val="宋体"/>
            <charset val="134"/>
          </rPr>
          <t>不需要的列可以直接删除。不能改成字段库里没有的名字。</t>
        </r>
      </text>
    </comment>
    <comment ref="X1" authorId="0">
      <text>
        <r>
          <rPr>
            <sz val="10"/>
            <rFont val="宋体"/>
            <charset val="134"/>
          </rPr>
          <t>不需要的列可以直接删除。不能改成字段库里没有的名字。</t>
        </r>
      </text>
    </comment>
    <comment ref="Y1" authorId="0">
      <text>
        <r>
          <rPr>
            <sz val="10"/>
            <rFont val="宋体"/>
            <charset val="134"/>
          </rPr>
          <t>不需要的列可以直接删除。不能改成字段库里没有的名字。</t>
        </r>
      </text>
    </comment>
    <comment ref="Z1" authorId="0">
      <text>
        <r>
          <rPr>
            <sz val="10"/>
            <rFont val="宋体"/>
            <charset val="134"/>
          </rPr>
          <t>不需要的列可以直接删除。不能改成字段库里没有的名字。</t>
        </r>
      </text>
    </comment>
    <comment ref="AA1" authorId="0">
      <text>
        <r>
          <rPr>
            <sz val="10"/>
            <rFont val="宋体"/>
            <charset val="134"/>
          </rPr>
          <t>不需要的列可以直接删除。不能改成字段库里没有的名字。</t>
        </r>
      </text>
    </comment>
    <comment ref="AB1" authorId="0">
      <text>
        <r>
          <rPr>
            <sz val="10"/>
            <rFont val="宋体"/>
            <charset val="134"/>
          </rPr>
          <t>不需要的列可以直接删除。不能改成字段库里没有的名字。</t>
        </r>
      </text>
    </comment>
    <comment ref="AC1" authorId="0">
      <text>
        <r>
          <rPr>
            <sz val="10"/>
            <rFont val="宋体"/>
            <charset val="134"/>
          </rPr>
          <t>不需要的列可以直接删除。不能改成字段库里没有的名字。</t>
        </r>
      </text>
    </comment>
    <comment ref="AD1" authorId="0">
      <text>
        <r>
          <rPr>
            <sz val="10"/>
            <rFont val="宋体"/>
            <charset val="134"/>
          </rPr>
          <t>不需要的列可以直接删除。不能改成字段库里没有的名字。</t>
        </r>
      </text>
    </comment>
    <comment ref="AE1" authorId="0">
      <text>
        <r>
          <rPr>
            <sz val="10"/>
            <rFont val="宋体"/>
            <charset val="134"/>
          </rPr>
          <t>不需要的列可以直接删除。不能改成字段库里没有的名字。</t>
        </r>
      </text>
    </comment>
    <comment ref="AF1" authorId="0">
      <text>
        <r>
          <rPr>
            <sz val="10"/>
            <rFont val="宋体"/>
            <charset val="134"/>
          </rPr>
          <t>不需要的列可以直接删除。不能改成字段库里没有的名字。</t>
        </r>
      </text>
    </comment>
    <comment ref="AG1" authorId="0">
      <text>
        <r>
          <rPr>
            <sz val="10"/>
            <rFont val="宋体"/>
            <charset val="134"/>
          </rPr>
          <t>不需要的列可以直接删除。不能改成字段库里没有的名字。</t>
        </r>
      </text>
    </comment>
    <comment ref="AH1" authorId="0">
      <text>
        <r>
          <rPr>
            <sz val="10"/>
            <rFont val="宋体"/>
            <charset val="134"/>
          </rPr>
          <t>不需要的列可以直接删除。不能改成字段库里没有的名字。</t>
        </r>
      </text>
    </comment>
    <comment ref="AI1" authorId="0">
      <text>
        <r>
          <rPr>
            <sz val="10"/>
            <rFont val="宋体"/>
            <charset val="134"/>
          </rPr>
          <t>不需要的列可以直接删除。不能改成字段库里没有的名字。</t>
        </r>
      </text>
    </comment>
    <comment ref="AJ1" authorId="0">
      <text>
        <r>
          <rPr>
            <sz val="10"/>
            <rFont val="宋体"/>
            <charset val="134"/>
          </rPr>
          <t>不需要的列可以直接删除。不能改成字段库里没有的名字。</t>
        </r>
      </text>
    </comment>
    <comment ref="AK1" authorId="0">
      <text>
        <r>
          <rPr>
            <sz val="10"/>
            <rFont val="宋体"/>
            <charset val="134"/>
          </rPr>
          <t>不需要的列可以直接删除。不能改成字段库里没有的名字。</t>
        </r>
      </text>
    </comment>
  </commentList>
</comments>
</file>

<file path=xl/comments15.xml><?xml version="1.0" encoding="utf-8"?>
<comments xmlns="http://schemas.openxmlformats.org/spreadsheetml/2006/main">
  <authors>
    <author>传输</author>
  </authors>
  <commentList>
    <comment ref="A1" authorId="0">
      <text>
        <r>
          <rPr>
            <sz val="10"/>
            <rFont val="宋体"/>
            <charset val="134"/>
          </rPr>
          <t>不需要的列可以直接删除。不能改成字段库里没有的名字。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关键字段，不能删除这一列。单元格可以按行留空的，只限于非关键列。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 ref="K1" authorId="0">
      <text>
        <r>
          <rPr>
            <sz val="10"/>
            <rFont val="宋体"/>
            <charset val="134"/>
          </rPr>
          <t>关键字段，不能删除这一列。单元格可以按行留空的，只限于非关键列。</t>
        </r>
      </text>
    </comment>
    <comment ref="L1" authorId="0">
      <text>
        <r>
          <rPr>
            <sz val="10"/>
            <rFont val="宋体"/>
            <charset val="134"/>
          </rPr>
          <t>关键字段，不能删除这一列。单元格可以按行留空的，只限于非关键列。</t>
        </r>
      </text>
    </comment>
    <comment ref="M1" authorId="0">
      <text>
        <r>
          <rPr>
            <sz val="10"/>
            <rFont val="宋体"/>
            <charset val="134"/>
          </rPr>
          <t>不需要的列可以直接删除。不能改成字段库里没有的名字。</t>
        </r>
      </text>
    </comment>
    <comment ref="N1" authorId="0">
      <text>
        <r>
          <rPr>
            <sz val="10"/>
            <rFont val="宋体"/>
            <charset val="134"/>
          </rPr>
          <t>不需要的列可以直接删除。不能改成字段库里没有的名字。</t>
        </r>
      </text>
    </comment>
  </commentList>
</comments>
</file>

<file path=xl/comments16.xml><?xml version="1.0" encoding="utf-8"?>
<comments xmlns="http://schemas.openxmlformats.org/spreadsheetml/2006/main">
  <authors>
    <author>传输</author>
  </authors>
  <commentList>
    <comment ref="A2" authorId="0">
      <text>
        <r>
          <rPr>
            <sz val="10"/>
            <rFont val="宋体"/>
            <charset val="134"/>
          </rPr>
          <t>关键字段，不能删除这一列。单元格可以按行留空的，只限于非关键列。</t>
        </r>
      </text>
    </comment>
    <comment ref="B2" authorId="0">
      <text>
        <r>
          <rPr>
            <sz val="10"/>
            <rFont val="宋体"/>
            <charset val="134"/>
          </rPr>
          <t>不需要的列可以直接删除。不能改成字段库里没有的名字。</t>
        </r>
      </text>
    </comment>
    <comment ref="C2" authorId="0">
      <text>
        <r>
          <rPr>
            <sz val="10"/>
            <rFont val="宋体"/>
            <charset val="134"/>
          </rPr>
          <t>不需要的列可以直接删除。不能改成字段库里没有的名字。</t>
        </r>
      </text>
    </comment>
    <comment ref="D2" authorId="0">
      <text>
        <r>
          <rPr>
            <sz val="10"/>
            <rFont val="宋体"/>
            <charset val="134"/>
          </rPr>
          <t>关键字段，不能删除这一列。单元格可以按行留空的，只限于非关键列。</t>
        </r>
      </text>
    </comment>
    <comment ref="E2" authorId="0">
      <text>
        <r>
          <rPr>
            <sz val="10"/>
            <rFont val="宋体"/>
            <charset val="134"/>
          </rPr>
          <t>关键字段，不能删除这一列。单元格可以按行留空的，只限于非关键列。</t>
        </r>
      </text>
    </comment>
    <comment ref="F2" authorId="0">
      <text>
        <r>
          <rPr>
            <sz val="10"/>
            <rFont val="宋体"/>
            <charset val="134"/>
          </rPr>
          <t>不需要的列可以直接删除。不能改成字段库里没有的名字。</t>
        </r>
      </text>
    </comment>
    <comment ref="G2" authorId="0">
      <text>
        <r>
          <rPr>
            <sz val="10"/>
            <rFont val="宋体"/>
            <charset val="134"/>
          </rPr>
          <t>不需要的列可以直接删除。不能改成字段库里没有的名字。</t>
        </r>
      </text>
    </comment>
    <comment ref="H2" authorId="0">
      <text>
        <r>
          <rPr>
            <sz val="10"/>
            <rFont val="宋体"/>
            <charset val="134"/>
          </rPr>
          <t>不需要的列可以直接删除。不能改成字段库里没有的名字。</t>
        </r>
      </text>
    </comment>
    <comment ref="I2" authorId="0">
      <text>
        <r>
          <rPr>
            <sz val="10"/>
            <rFont val="宋体"/>
            <charset val="134"/>
          </rPr>
          <t>不需要的列可以直接删除。不能改成字段库里没有的名字。</t>
        </r>
      </text>
    </comment>
    <comment ref="J2" authorId="0">
      <text>
        <r>
          <rPr>
            <sz val="10"/>
            <rFont val="宋体"/>
            <charset val="134"/>
          </rPr>
          <t>不需要的列可以直接删除。不能改成字段库里没有的名字。</t>
        </r>
      </text>
    </comment>
    <comment ref="K2" authorId="0">
      <text>
        <r>
          <rPr>
            <sz val="10"/>
            <rFont val="宋体"/>
            <charset val="134"/>
          </rPr>
          <t>不需要的列可以直接删除。不能改成字段库里没有的名字。</t>
        </r>
      </text>
    </comment>
    <comment ref="L2" authorId="0">
      <text>
        <r>
          <rPr>
            <sz val="10"/>
            <rFont val="宋体"/>
            <charset val="134"/>
          </rPr>
          <t>不需要的列可以直接删除。不能改成字段库里没有的名字。</t>
        </r>
      </text>
    </comment>
    <comment ref="M2" authorId="0">
      <text>
        <r>
          <rPr>
            <sz val="10"/>
            <rFont val="宋体"/>
            <charset val="134"/>
          </rPr>
          <t>不需要的列可以直接删除。不能改成字段库里没有的名字。</t>
        </r>
      </text>
    </comment>
    <comment ref="N2" authorId="0">
      <text>
        <r>
          <rPr>
            <sz val="10"/>
            <rFont val="宋体"/>
            <charset val="134"/>
          </rPr>
          <t>不需要的列可以直接删除。不能改成字段库里没有的名字。</t>
        </r>
      </text>
    </comment>
    <comment ref="O2" authorId="0">
      <text>
        <r>
          <rPr>
            <sz val="10"/>
            <rFont val="宋体"/>
            <charset val="134"/>
          </rPr>
          <t>不需要的列可以直接删除。不能改成字段库里没有的名字。</t>
        </r>
      </text>
    </comment>
    <comment ref="P2" authorId="0">
      <text>
        <r>
          <rPr>
            <sz val="10"/>
            <rFont val="宋体"/>
            <charset val="134"/>
          </rPr>
          <t>不需要的列可以直接删除。不能改成字段库里没有的名字。</t>
        </r>
      </text>
    </comment>
    <comment ref="Q2" authorId="0">
      <text>
        <r>
          <rPr>
            <sz val="10"/>
            <rFont val="宋体"/>
            <charset val="134"/>
          </rPr>
          <t>不需要的列可以直接删除。不能改成字段库里没有的名字。</t>
        </r>
      </text>
    </comment>
    <comment ref="R2" authorId="0">
      <text>
        <r>
          <rPr>
            <sz val="10"/>
            <rFont val="宋体"/>
            <charset val="134"/>
          </rPr>
          <t>不需要的列可以直接删除。不能改成字段库里没有的名字。</t>
        </r>
      </text>
    </comment>
    <comment ref="S2" authorId="0">
      <text>
        <r>
          <rPr>
            <sz val="10"/>
            <rFont val="宋体"/>
            <charset val="134"/>
          </rPr>
          <t>不需要的列可以直接删除。不能改成字段库里没有的名字。</t>
        </r>
      </text>
    </comment>
    <comment ref="T2" authorId="0">
      <text>
        <r>
          <rPr>
            <sz val="10"/>
            <rFont val="宋体"/>
            <charset val="134"/>
          </rPr>
          <t>不需要的列可以直接删除。不能改成字段库里没有的名字。</t>
        </r>
      </text>
    </comment>
    <comment ref="U2" authorId="0">
      <text>
        <r>
          <rPr>
            <sz val="10"/>
            <rFont val="宋体"/>
            <charset val="134"/>
          </rPr>
          <t>不需要的列可以直接删除。不能改成字段库里没有的名字。</t>
        </r>
      </text>
    </comment>
    <comment ref="V2" authorId="0">
      <text>
        <r>
          <rPr>
            <sz val="10"/>
            <rFont val="宋体"/>
            <charset val="134"/>
          </rPr>
          <t>不需要的列可以直接删除。不能改成字段库里没有的名字。</t>
        </r>
      </text>
    </comment>
    <comment ref="W2" authorId="0">
      <text>
        <r>
          <rPr>
            <sz val="10"/>
            <rFont val="宋体"/>
            <charset val="134"/>
          </rPr>
          <t>不需要的列可以直接删除。不能改成字段库里没有的名字。</t>
        </r>
      </text>
    </comment>
    <comment ref="X2" authorId="0">
      <text>
        <r>
          <rPr>
            <sz val="10"/>
            <rFont val="宋体"/>
            <charset val="134"/>
          </rPr>
          <t>不需要的列可以直接删除。不能改成字段库里没有的名字。</t>
        </r>
      </text>
    </comment>
    <comment ref="A5" authorId="0">
      <text>
        <r>
          <rPr>
            <sz val="10"/>
            <rFont val="宋体"/>
            <charset val="134"/>
          </rPr>
          <t>不需要的列可以直接删除。不能改成字段库里没有的名字。</t>
        </r>
      </text>
    </comment>
    <comment ref="B5" authorId="0">
      <text>
        <r>
          <rPr>
            <sz val="10"/>
            <rFont val="宋体"/>
            <charset val="134"/>
          </rPr>
          <t>关键字段，不能删除这一列。单元格可以按行留空的，只限于非关键列。</t>
        </r>
      </text>
    </comment>
    <comment ref="C5" authorId="0">
      <text>
        <r>
          <rPr>
            <sz val="10"/>
            <rFont val="宋体"/>
            <charset val="134"/>
          </rPr>
          <t>不需要的列可以直接删除。不能改成字段库里没有的名字。</t>
        </r>
      </text>
    </comment>
    <comment ref="D5" authorId="0">
      <text>
        <r>
          <rPr>
            <sz val="10"/>
            <rFont val="宋体"/>
            <charset val="134"/>
          </rPr>
          <t>不需要的列可以直接删除。不能改成字段库里没有的名字。</t>
        </r>
      </text>
    </comment>
    <comment ref="E5" authorId="0">
      <text>
        <r>
          <rPr>
            <sz val="10"/>
            <rFont val="宋体"/>
            <charset val="134"/>
          </rPr>
          <t>不需要的列可以直接删除。不能改成字段库里没有的名字。</t>
        </r>
      </text>
    </comment>
    <comment ref="F5" authorId="0">
      <text>
        <r>
          <rPr>
            <sz val="10"/>
            <rFont val="宋体"/>
            <charset val="134"/>
          </rPr>
          <t>不需要的列可以直接删除。不能改成字段库里没有的名字。</t>
        </r>
      </text>
    </comment>
    <comment ref="G5" authorId="0">
      <text>
        <r>
          <rPr>
            <sz val="10"/>
            <rFont val="宋体"/>
            <charset val="134"/>
          </rPr>
          <t>关键字段，不能删除这一列。单元格可以按行留空的，只限于非关键列。</t>
        </r>
      </text>
    </comment>
    <comment ref="H5" authorId="0">
      <text>
        <r>
          <rPr>
            <sz val="10"/>
            <rFont val="宋体"/>
            <charset val="134"/>
          </rPr>
          <t>关键字段，不能删除这一列。单元格可以按行留空的，只限于非关键列。</t>
        </r>
      </text>
    </comment>
  </commentList>
</comments>
</file>

<file path=xl/comments17.xml><?xml version="1.0" encoding="utf-8"?>
<comments xmlns="http://schemas.openxmlformats.org/spreadsheetml/2006/main">
  <authors>
    <author>传输</author>
  </authors>
  <commentList>
    <comment ref="A2" authorId="0">
      <text>
        <r>
          <rPr>
            <sz val="10"/>
            <rFont val="宋体"/>
            <charset val="134"/>
          </rPr>
          <t>关键字段，不能删除这一列。单元格可以按行留空的，只限于非关键列。</t>
        </r>
      </text>
    </comment>
    <comment ref="B2" authorId="0">
      <text>
        <r>
          <rPr>
            <sz val="10"/>
            <rFont val="宋体"/>
            <charset val="134"/>
          </rPr>
          <t>不需要的列可以直接删除。不能改成字段库里没有的名字。</t>
        </r>
      </text>
    </comment>
    <comment ref="C2" authorId="0">
      <text>
        <r>
          <rPr>
            <sz val="10"/>
            <rFont val="宋体"/>
            <charset val="134"/>
          </rPr>
          <t>不需要的列可以直接删除。不能改成字段库里没有的名字。</t>
        </r>
      </text>
    </comment>
    <comment ref="D2" authorId="0">
      <text>
        <r>
          <rPr>
            <sz val="10"/>
            <rFont val="宋体"/>
            <charset val="134"/>
          </rPr>
          <t>关键字段，不能删除这一列。单元格可以按行留空的，只限于非关键列。</t>
        </r>
      </text>
    </comment>
    <comment ref="E2" authorId="0">
      <text>
        <r>
          <rPr>
            <sz val="10"/>
            <rFont val="宋体"/>
            <charset val="134"/>
          </rPr>
          <t>关键字段，不能删除这一列。单元格可以按行留空的，只限于非关键列。</t>
        </r>
      </text>
    </comment>
    <comment ref="F2" authorId="0">
      <text>
        <r>
          <rPr>
            <sz val="10"/>
            <rFont val="宋体"/>
            <charset val="134"/>
          </rPr>
          <t>不需要的列可以直接删除。不能改成字段库里没有的名字。</t>
        </r>
      </text>
    </comment>
    <comment ref="G2" authorId="0">
      <text>
        <r>
          <rPr>
            <sz val="10"/>
            <rFont val="宋体"/>
            <charset val="134"/>
          </rPr>
          <t>不需要的列可以直接删除。不能改成字段库里没有的名字。</t>
        </r>
      </text>
    </comment>
    <comment ref="H2" authorId="0">
      <text>
        <r>
          <rPr>
            <sz val="10"/>
            <rFont val="宋体"/>
            <charset val="134"/>
          </rPr>
          <t>不需要的列可以直接删除。不能改成字段库里没有的名字。</t>
        </r>
      </text>
    </comment>
    <comment ref="I2" authorId="0">
      <text>
        <r>
          <rPr>
            <sz val="10"/>
            <rFont val="宋体"/>
            <charset val="134"/>
          </rPr>
          <t>不需要的列可以直接删除。不能改成字段库里没有的名字。</t>
        </r>
      </text>
    </comment>
    <comment ref="J2" authorId="0">
      <text>
        <r>
          <rPr>
            <sz val="10"/>
            <rFont val="宋体"/>
            <charset val="134"/>
          </rPr>
          <t>不需要的列可以直接删除。不能改成字段库里没有的名字。</t>
        </r>
      </text>
    </comment>
    <comment ref="K2" authorId="0">
      <text>
        <r>
          <rPr>
            <sz val="10"/>
            <rFont val="宋体"/>
            <charset val="134"/>
          </rPr>
          <t>不需要的列可以直接删除。不能改成字段库里没有的名字。</t>
        </r>
      </text>
    </comment>
    <comment ref="L2" authorId="0">
      <text>
        <r>
          <rPr>
            <sz val="10"/>
            <rFont val="宋体"/>
            <charset val="134"/>
          </rPr>
          <t>不需要的列可以直接删除。不能改成字段库里没有的名字。</t>
        </r>
      </text>
    </comment>
    <comment ref="M2" authorId="0">
      <text>
        <r>
          <rPr>
            <sz val="10"/>
            <rFont val="宋体"/>
            <charset val="134"/>
          </rPr>
          <t>不需要的列可以直接删除。不能改成字段库里没有的名字。</t>
        </r>
      </text>
    </comment>
    <comment ref="N2" authorId="0">
      <text>
        <r>
          <rPr>
            <sz val="10"/>
            <rFont val="宋体"/>
            <charset val="134"/>
          </rPr>
          <t>不需要的列可以直接删除。不能改成字段库里没有的名字。</t>
        </r>
      </text>
    </comment>
    <comment ref="O2" authorId="0">
      <text>
        <r>
          <rPr>
            <sz val="10"/>
            <rFont val="宋体"/>
            <charset val="134"/>
          </rPr>
          <t>不需要的列可以直接删除。不能改成字段库里没有的名字。</t>
        </r>
      </text>
    </comment>
    <comment ref="P2" authorId="0">
      <text>
        <r>
          <rPr>
            <sz val="10"/>
            <rFont val="宋体"/>
            <charset val="134"/>
          </rPr>
          <t>不需要的列可以直接删除。不能改成字段库里没有的名字。</t>
        </r>
      </text>
    </comment>
    <comment ref="A5" authorId="0">
      <text>
        <r>
          <rPr>
            <sz val="10"/>
            <rFont val="宋体"/>
            <charset val="134"/>
          </rPr>
          <t>不需要的列可以直接删除。不能改成字段库里没有的名字。</t>
        </r>
      </text>
    </comment>
    <comment ref="B5" authorId="0">
      <text>
        <r>
          <rPr>
            <sz val="10"/>
            <rFont val="宋体"/>
            <charset val="134"/>
          </rPr>
          <t>关键字段，不能删除这一列。单元格可以按行留空的，只限于非关键列。</t>
        </r>
      </text>
    </comment>
    <comment ref="C5" authorId="0">
      <text>
        <r>
          <rPr>
            <sz val="10"/>
            <rFont val="宋体"/>
            <charset val="134"/>
          </rPr>
          <t>不需要的列可以直接删除。不能改成字段库里没有的名字。</t>
        </r>
      </text>
    </comment>
    <comment ref="D5" authorId="0">
      <text>
        <r>
          <rPr>
            <sz val="10"/>
            <rFont val="宋体"/>
            <charset val="134"/>
          </rPr>
          <t>不需要的列可以直接删除。不能改成字段库里没有的名字。</t>
        </r>
      </text>
    </comment>
    <comment ref="E5" authorId="0">
      <text>
        <r>
          <rPr>
            <sz val="10"/>
            <rFont val="宋体"/>
            <charset val="134"/>
          </rPr>
          <t>不需要的列可以直接删除。不能改成字段库里没有的名字。</t>
        </r>
      </text>
    </comment>
    <comment ref="F5" authorId="0">
      <text>
        <r>
          <rPr>
            <sz val="10"/>
            <rFont val="宋体"/>
            <charset val="134"/>
          </rPr>
          <t>不需要的列可以直接删除。不能改成字段库里没有的名字。</t>
        </r>
      </text>
    </comment>
    <comment ref="G5" authorId="0">
      <text>
        <r>
          <rPr>
            <sz val="10"/>
            <rFont val="宋体"/>
            <charset val="134"/>
          </rPr>
          <t>关键字段，不能删除这一列。单元格可以按行留空的，只限于非关键列。</t>
        </r>
      </text>
    </comment>
    <comment ref="H5" authorId="0">
      <text>
        <r>
          <rPr>
            <sz val="10"/>
            <rFont val="宋体"/>
            <charset val="134"/>
          </rPr>
          <t>关键字段，不能删除这一列。单元格可以按行留空的，只限于非关键列。</t>
        </r>
      </text>
    </comment>
    <comment ref="I5" authorId="0">
      <text>
        <r>
          <rPr>
            <sz val="10"/>
            <rFont val="宋体"/>
            <charset val="134"/>
          </rPr>
          <t>不需要的列可以直接删除。不能改成字段库里没有的名字。</t>
        </r>
      </text>
    </comment>
    <comment ref="A8" authorId="0">
      <text>
        <r>
          <rPr>
            <sz val="10"/>
            <rFont val="宋体"/>
            <charset val="134"/>
          </rPr>
          <t>不需要的列可以直接删除。不能改成字段库里没有的名字。</t>
        </r>
      </text>
    </comment>
    <comment ref="B8" authorId="0">
      <text>
        <r>
          <rPr>
            <sz val="10"/>
            <rFont val="宋体"/>
            <charset val="134"/>
          </rPr>
          <t>关键字段，不能删除这一列。单元格可以按行留空的，只限于非关键列。</t>
        </r>
      </text>
    </comment>
    <comment ref="C8" authorId="0">
      <text>
        <r>
          <rPr>
            <sz val="10"/>
            <rFont val="宋体"/>
            <charset val="134"/>
          </rPr>
          <t>不需要的列可以直接删除。不能改成字段库里没有的名字。</t>
        </r>
      </text>
    </comment>
    <comment ref="D8" authorId="0">
      <text>
        <r>
          <rPr>
            <sz val="10"/>
            <rFont val="宋体"/>
            <charset val="134"/>
          </rPr>
          <t>不需要的列可以直接删除。不能改成字段库里没有的名字。</t>
        </r>
      </text>
    </comment>
    <comment ref="E8" authorId="0">
      <text>
        <r>
          <rPr>
            <sz val="10"/>
            <rFont val="宋体"/>
            <charset val="134"/>
          </rPr>
          <t>不需要的列可以直接删除。不能改成字段库里没有的名字。</t>
        </r>
      </text>
    </comment>
    <comment ref="F8" authorId="0">
      <text>
        <r>
          <rPr>
            <sz val="10"/>
            <rFont val="宋体"/>
            <charset val="134"/>
          </rPr>
          <t>不需要的列可以直接删除。不能改成字段库里没有的名字。</t>
        </r>
      </text>
    </comment>
    <comment ref="G8" authorId="0">
      <text>
        <r>
          <rPr>
            <sz val="10"/>
            <rFont val="宋体"/>
            <charset val="134"/>
          </rPr>
          <t>不需要的列可以直接删除。不能改成字段库里没有的名字。</t>
        </r>
      </text>
    </comment>
  </commentList>
</comments>
</file>

<file path=xl/comments18.xml><?xml version="1.0" encoding="utf-8"?>
<comments xmlns="http://schemas.openxmlformats.org/spreadsheetml/2006/main">
  <authors>
    <author>传输</author>
  </authors>
  <commentList>
    <comment ref="A4" authorId="0">
      <text>
        <r>
          <rPr>
            <sz val="10"/>
            <rFont val="宋体"/>
            <charset val="134"/>
          </rPr>
          <t>关键字段，不能删除这一列。单元格可以按行留空的，只限于非关键列。</t>
        </r>
      </text>
    </comment>
    <comment ref="B4" authorId="0">
      <text>
        <r>
          <rPr>
            <sz val="10"/>
            <rFont val="宋体"/>
            <charset val="134"/>
          </rPr>
          <t>不需要的列可以直接删除。不能改成字段库里没有的名字。</t>
        </r>
      </text>
    </comment>
    <comment ref="C4" authorId="0">
      <text>
        <r>
          <rPr>
            <sz val="10"/>
            <rFont val="宋体"/>
            <charset val="134"/>
          </rPr>
          <t>不需要的列可以直接删除。不能改成字段库里没有的名字。</t>
        </r>
      </text>
    </comment>
    <comment ref="D4" authorId="0">
      <text>
        <r>
          <rPr>
            <sz val="10"/>
            <rFont val="宋体"/>
            <charset val="134"/>
          </rPr>
          <t>不需要的列可以直接删除。不能改成字段库里没有的名字。</t>
        </r>
      </text>
    </comment>
    <comment ref="E4" authorId="0">
      <text>
        <r>
          <rPr>
            <sz val="10"/>
            <rFont val="宋体"/>
            <charset val="134"/>
          </rPr>
          <t>不需要的列可以直接删除。不能改成字段库里没有的名字。</t>
        </r>
      </text>
    </comment>
    <comment ref="F4" authorId="0">
      <text>
        <r>
          <rPr>
            <sz val="10"/>
            <rFont val="宋体"/>
            <charset val="134"/>
          </rPr>
          <t>不需要的列可以直接删除。不能改成字段库里没有的名字。</t>
        </r>
      </text>
    </comment>
    <comment ref="G4" authorId="0">
      <text>
        <r>
          <rPr>
            <sz val="10"/>
            <rFont val="宋体"/>
            <charset val="134"/>
          </rPr>
          <t>不需要的列可以直接删除。不能改成字段库里没有的名字。</t>
        </r>
      </text>
    </comment>
    <comment ref="H4" authorId="0">
      <text>
        <r>
          <rPr>
            <sz val="10"/>
            <rFont val="宋体"/>
            <charset val="134"/>
          </rPr>
          <t>不需要的列可以直接删除。不能改成字段库里没有的名字。</t>
        </r>
      </text>
    </comment>
    <comment ref="I4" authorId="0">
      <text>
        <r>
          <rPr>
            <sz val="10"/>
            <rFont val="宋体"/>
            <charset val="134"/>
          </rPr>
          <t>不需要的列可以直接删除。不能改成字段库里没有的名字。</t>
        </r>
      </text>
    </comment>
    <comment ref="J4" authorId="0">
      <text>
        <r>
          <rPr>
            <sz val="10"/>
            <rFont val="宋体"/>
            <charset val="134"/>
          </rPr>
          <t>不需要的列可以直接删除。不能改成字段库里没有的名字。</t>
        </r>
      </text>
    </comment>
    <comment ref="K4" authorId="0">
      <text>
        <r>
          <rPr>
            <sz val="10"/>
            <rFont val="宋体"/>
            <charset val="134"/>
          </rPr>
          <t>不需要的列可以直接删除。不能改成字段库里没有的名字。</t>
        </r>
      </text>
    </comment>
    <comment ref="L4" authorId="0">
      <text>
        <r>
          <rPr>
            <sz val="10"/>
            <rFont val="宋体"/>
            <charset val="134"/>
          </rPr>
          <t>不需要的列可以直接删除。不能改成字段库里没有的名字。</t>
        </r>
      </text>
    </comment>
    <comment ref="M4" authorId="0">
      <text>
        <r>
          <rPr>
            <sz val="10"/>
            <rFont val="宋体"/>
            <charset val="134"/>
          </rPr>
          <t>不需要的列可以直接删除。不能改成字段库里没有的名字。</t>
        </r>
      </text>
    </comment>
    <comment ref="N4" authorId="0">
      <text>
        <r>
          <rPr>
            <sz val="10"/>
            <rFont val="宋体"/>
            <charset val="134"/>
          </rPr>
          <t>不需要的列可以直接删除。不能改成字段库里没有的名字。</t>
        </r>
      </text>
    </comment>
    <comment ref="O4" authorId="0">
      <text>
        <r>
          <rPr>
            <sz val="10"/>
            <rFont val="宋体"/>
            <charset val="134"/>
          </rPr>
          <t>不需要的列可以直接删除。不能改成字段库里没有的名字。</t>
        </r>
      </text>
    </comment>
    <comment ref="P4" authorId="0">
      <text>
        <r>
          <rPr>
            <sz val="10"/>
            <rFont val="宋体"/>
            <charset val="134"/>
          </rPr>
          <t>不需要的列可以直接删除。不能改成字段库里没有的名字。</t>
        </r>
      </text>
    </comment>
    <comment ref="Q4" authorId="0">
      <text>
        <r>
          <rPr>
            <sz val="10"/>
            <rFont val="宋体"/>
            <charset val="134"/>
          </rPr>
          <t>不需要的列可以直接删除。不能改成字段库里没有的名字。</t>
        </r>
      </text>
    </comment>
    <comment ref="R4" authorId="0">
      <text>
        <r>
          <rPr>
            <sz val="10"/>
            <rFont val="宋体"/>
            <charset val="134"/>
          </rPr>
          <t>不需要的列可以直接删除。不能改成字段库里没有的名字。</t>
        </r>
      </text>
    </comment>
    <comment ref="S4" authorId="0">
      <text>
        <r>
          <rPr>
            <sz val="10"/>
            <rFont val="宋体"/>
            <charset val="134"/>
          </rPr>
          <t>不需要的列可以直接删除。不能改成字段库里没有的名字。</t>
        </r>
      </text>
    </comment>
    <comment ref="T4" authorId="0">
      <text>
        <r>
          <rPr>
            <sz val="10"/>
            <rFont val="宋体"/>
            <charset val="134"/>
          </rPr>
          <t>不需要的列可以直接删除。不能改成字段库里没有的名字。</t>
        </r>
      </text>
    </comment>
    <comment ref="U4" authorId="0">
      <text>
        <r>
          <rPr>
            <sz val="10"/>
            <rFont val="宋体"/>
            <charset val="134"/>
          </rPr>
          <t>不需要的列可以直接删除。不能改成字段库里没有的名字。</t>
        </r>
      </text>
    </comment>
    <comment ref="V4" authorId="0">
      <text>
        <r>
          <rPr>
            <sz val="10"/>
            <rFont val="宋体"/>
            <charset val="134"/>
          </rPr>
          <t>不需要的列可以直接删除。不能改成字段库里没有的名字。</t>
        </r>
      </text>
    </comment>
    <comment ref="W4" authorId="0">
      <text>
        <r>
          <rPr>
            <sz val="10"/>
            <rFont val="宋体"/>
            <charset val="134"/>
          </rPr>
          <t>入库带出的对照列。这一列不会回写。</t>
        </r>
      </text>
    </comment>
    <comment ref="X4" authorId="0">
      <text>
        <r>
          <rPr>
            <sz val="10"/>
            <rFont val="宋体"/>
            <charset val="134"/>
          </rPr>
          <t>入库带出的对照列。这一列不会回写。</t>
        </r>
      </text>
    </comment>
    <comment ref="Y4" authorId="0">
      <text>
        <r>
          <rPr>
            <sz val="10"/>
            <rFont val="宋体"/>
            <charset val="134"/>
          </rPr>
          <t>入库带出的对照列。这一列不会回写。</t>
        </r>
      </text>
    </comment>
    <comment ref="Z4" authorId="0">
      <text>
        <r>
          <rPr>
            <sz val="10"/>
            <rFont val="宋体"/>
            <charset val="134"/>
          </rPr>
          <t>入库带出的对照列。这一列不会回写。</t>
        </r>
      </text>
    </comment>
    <comment ref="AA4" authorId="0">
      <text>
        <r>
          <rPr>
            <sz val="10"/>
            <rFont val="宋体"/>
            <charset val="134"/>
          </rPr>
          <t>入库带出的对照列。这一列不会回写。</t>
        </r>
      </text>
    </comment>
    <comment ref="AB4" authorId="0">
      <text>
        <r>
          <rPr>
            <sz val="10"/>
            <rFont val="宋体"/>
            <charset val="134"/>
          </rPr>
          <t>入库带出的对照列。这一列不会回写。</t>
        </r>
      </text>
    </comment>
    <comment ref="AC4" authorId="0">
      <text>
        <r>
          <rPr>
            <sz val="10"/>
            <rFont val="宋体"/>
            <charset val="134"/>
          </rPr>
          <t>入库带出的对照列。这一列不会回写。</t>
        </r>
      </text>
    </comment>
    <comment ref="AD4" authorId="0">
      <text>
        <r>
          <rPr>
            <sz val="10"/>
            <rFont val="宋体"/>
            <charset val="134"/>
          </rPr>
          <t>入库带出的对照列。这一列不会回写。</t>
        </r>
      </text>
    </comment>
    <comment ref="AE4" authorId="0">
      <text>
        <r>
          <rPr>
            <sz val="10"/>
            <rFont val="宋体"/>
            <charset val="134"/>
          </rPr>
          <t>入库带出的对照列。这一列不会回写。</t>
        </r>
      </text>
    </comment>
    <comment ref="AF4" authorId="0">
      <text>
        <r>
          <rPr>
            <sz val="10"/>
            <rFont val="宋体"/>
            <charset val="134"/>
          </rPr>
          <t>不需要的列可以直接删除。不能改成字段库里没有的名字。</t>
        </r>
      </text>
    </comment>
    <comment ref="AG4" authorId="0">
      <text>
        <r>
          <rPr>
            <sz val="10"/>
            <rFont val="宋体"/>
            <charset val="134"/>
          </rPr>
          <t>不需要的列可以直接删除。不能改成字段库里没有的名字。</t>
        </r>
      </text>
    </comment>
    <comment ref="AH4" authorId="0">
      <text>
        <r>
          <rPr>
            <sz val="10"/>
            <rFont val="宋体"/>
            <charset val="134"/>
          </rPr>
          <t>不需要的列可以直接删除。不能改成字段库里没有的名字。</t>
        </r>
      </text>
    </comment>
  </commentList>
</comments>
</file>

<file path=xl/comments19.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不需要的列可以直接删除。不能改成字段库里没有的名字。</t>
        </r>
      </text>
    </comment>
    <comment ref="G1" authorId="0">
      <text>
        <r>
          <rPr>
            <sz val="10"/>
            <rFont val="宋体"/>
            <charset val="134"/>
          </rPr>
          <t>不需要的列可以直接删除。不能改成字段库里没有的名字。</t>
        </r>
      </text>
    </comment>
    <comment ref="H1" authorId="0">
      <text>
        <r>
          <rPr>
            <sz val="10"/>
            <rFont val="宋体"/>
            <charset val="134"/>
          </rPr>
          <t>不需要的列可以直接删除。不能改成字段库里没有的名字。</t>
        </r>
      </text>
    </comment>
    <comment ref="I1" authorId="0">
      <text>
        <r>
          <rPr>
            <sz val="10"/>
            <rFont val="宋体"/>
            <charset val="134"/>
          </rPr>
          <t>不需要的列可以直接删除。不能改成字段库里没有的名字。</t>
        </r>
      </text>
    </comment>
    <comment ref="J1" authorId="0">
      <text>
        <r>
          <rPr>
            <sz val="10"/>
            <rFont val="宋体"/>
            <charset val="134"/>
          </rPr>
          <t>不需要的列可以直接删除。不能改成字段库里没有的名字。</t>
        </r>
      </text>
    </comment>
  </commentList>
</comments>
</file>

<file path=xl/comments20.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不需要的列可以直接删除。不能改成字段库里没有的名字。</t>
        </r>
      </text>
    </comment>
    <comment ref="E1" authorId="0">
      <text>
        <r>
          <rPr>
            <sz val="10"/>
            <rFont val="宋体"/>
            <charset val="134"/>
          </rPr>
          <t>不需要的列可以直接删除。不能改成字段库里没有的名字。</t>
        </r>
      </text>
    </comment>
    <comment ref="F1" authorId="0">
      <text>
        <r>
          <rPr>
            <sz val="10"/>
            <rFont val="宋体"/>
            <charset val="134"/>
          </rPr>
          <t>不需要的列可以直接删除。不能改成字段库里没有的名字。</t>
        </r>
      </text>
    </comment>
    <comment ref="G1" authorId="0">
      <text>
        <r>
          <rPr>
            <sz val="10"/>
            <rFont val="宋体"/>
            <charset val="134"/>
          </rPr>
          <t>不需要的列可以直接删除。不能改成字段库里没有的名字。</t>
        </r>
      </text>
    </comment>
  </commentList>
</comments>
</file>

<file path=xl/comments21.xml><?xml version="1.0" encoding="utf-8"?>
<comments xmlns="http://schemas.openxmlformats.org/spreadsheetml/2006/main">
  <authors>
    <author>传输</author>
  </authors>
  <commentList>
    <comment ref="A1" authorId="0">
      <text>
        <r>
          <rPr>
            <sz val="10"/>
            <rFont val="宋体"/>
            <charset val="134"/>
          </rPr>
          <t>关键字段，不能删除这一列。单元格可以按行留空的，只限于非关键列。</t>
        </r>
      </text>
    </comment>
    <comment ref="B1" authorId="0">
      <text>
        <r>
          <rPr>
            <sz val="10"/>
            <rFont val="宋体"/>
            <charset val="134"/>
          </rPr>
          <t>关键字段，不能删除这一列。单元格可以按行留空的，只限于非关键列。</t>
        </r>
      </text>
    </comment>
    <comment ref="C1" authorId="0">
      <text>
        <r>
          <rPr>
            <sz val="10"/>
            <rFont val="宋体"/>
            <charset val="134"/>
          </rPr>
          <t>不需要的列可以直接删除。不能改成字段库里没有的名字。</t>
        </r>
      </text>
    </comment>
    <comment ref="D1" authorId="0">
      <text>
        <r>
          <rPr>
            <sz val="10"/>
            <rFont val="宋体"/>
            <charset val="134"/>
          </rPr>
          <t>关键字段，不能删除这一列。单元格可以按行留空的，只限于非关键列。</t>
        </r>
      </text>
    </comment>
    <comment ref="E1" authorId="0">
      <text>
        <r>
          <rPr>
            <sz val="10"/>
            <rFont val="宋体"/>
            <charset val="134"/>
          </rPr>
          <t>不需要的列可以直接删除。不能改成字段库里没有的名字。</t>
        </r>
      </text>
    </comment>
  </commentList>
</comments>
</file>

<file path=xl/sharedStrings.xml><?xml version="1.0" encoding="utf-8"?>
<sst xmlns="http://schemas.openxmlformats.org/spreadsheetml/2006/main" count="4539" uniqueCount="1371">
  <si>
    <t>合同系统批量传输</t>
  </si>
  <si>
    <t>服务器</t>
  </si>
  <si>
    <t>http://127.0.0.1:8001</t>
  </si>
  <si>
    <t>用户名</t>
  </si>
  <si>
    <t>admin</t>
  </si>
  <si>
    <t>密码</t>
  </si>
  <si>
    <t>公司</t>
  </si>
  <si>
    <t>登录状态</t>
  </si>
  <si>
    <t>已登录 admin</t>
  </si>
  <si>
    <t>采购计划方式</t>
  </si>
  <si>
    <t>按物料编号更新</t>
  </si>
  <si>
    <t>宏版本</t>
  </si>
  <si>
    <t>2026-10-09-1</t>
  </si>
  <si>
    <t>用法</t>
  </si>
  <si>
    <t>1. 填写服务器、用户名、密码。公司可填编号、全称或简称；留空则用登录后的默认公司。</t>
  </si>
  <si>
    <t>2. 打开本文件时选择启用宏。先点「登录」，再点「导入当前工作表」或「按顺序导入全部」。</t>
  </si>
  <si>
    <t>3. 每张表第 1 行是字段。红色列是关键字段，不能删。其余列可以整列删除。不能把表头改成字段库里没有的名字。</t>
  </si>
  <si>
    <t>4. 采购合同、销售合同：第2行是主表字段，第3行是这一份合同。在A列找到「物料明细」和「阶段付款」。物料明细的下一行是物料字段，再下一行起到阶段付款的上一行是物料。阶段付款的下一行是阶段字段，再下一行起到A列最后一个有内容的单元格是付款阶段。一份合同至少一行物料、一行阶段。</t>
  </si>
  <si>
    <t>5. 合同名称、业务员可以空着：名称空着时用合同编号，业务员空着时用当前登录人。供应商或客户必须已经在客商里。</t>
  </si>
  <si>
    <t>6. 阶段只填比例时，金额按比例分摊；比例都空着则平均分摊。到货阶段或发货阶段填「是」的那一行，作为到货或发货阶段。</t>
  </si>
  <si>
    <t>7. 报关物料清单的数据来自采购入库。点「从入库载入」后，只填写还缺的列。除物料编号外，空列不会覆盖系统原值。</t>
  </si>
  <si>
    <t>8. 导入顺序是：公司、合同类型、资金账户、客商、项目、HS Code、汇率、商品、采购计划、采购合同、销售合同、订单、发票、收付款、入仓单、报关物料。空表会跳过。</t>
  </si>
  <si>
    <t>9. 结果写在「导入结果」。字段是否允许，以「字段库」为准，和系统表单字段一致。</t>
  </si>
  <si>
    <t>Lingong Heavy Machinery Co., Ltd</t>
  </si>
  <si>
    <t>客商类型</t>
  </si>
  <si>
    <t>名称</t>
  </si>
  <si>
    <t>编码</t>
  </si>
  <si>
    <t>简称</t>
  </si>
  <si>
    <t>联系人</t>
  </si>
  <si>
    <t>联系电话</t>
  </si>
  <si>
    <t>手机</t>
  </si>
  <si>
    <t>邮箱</t>
  </si>
  <si>
    <t>业务员</t>
  </si>
  <si>
    <t>供应商类别</t>
  </si>
  <si>
    <t>纳税人识别号</t>
  </si>
  <si>
    <t>默认税率</t>
  </si>
  <si>
    <t>开票名称</t>
  </si>
  <si>
    <t>开户银行</t>
  </si>
  <si>
    <t>账户名称</t>
  </si>
  <si>
    <t>银行账号</t>
  </si>
  <si>
    <t>开户支行</t>
  </si>
  <si>
    <t>开票电话</t>
  </si>
  <si>
    <t>开票地址</t>
  </si>
  <si>
    <t>通讯地址</t>
  </si>
  <si>
    <t>法人代表</t>
  </si>
  <si>
    <t>委托代理人</t>
  </si>
  <si>
    <t>状态</t>
  </si>
  <si>
    <t>备注</t>
  </si>
  <si>
    <t>供应商</t>
  </si>
  <si>
    <t>康明斯发动机（北京）有限公司</t>
  </si>
  <si>
    <t>Supplier_001</t>
  </si>
  <si>
    <t>康明斯北京</t>
  </si>
  <si>
    <t>李薇</t>
  </si>
  <si>
    <t>13911028233</t>
  </si>
  <si>
    <t>9111030260002177XE</t>
  </si>
  <si>
    <t>汇丰银行（中国）有限公司北京分行</t>
  </si>
  <si>
    <t>626110324011</t>
  </si>
  <si>
    <t>北京市北京经济技术开发区万源街 8 号</t>
  </si>
  <si>
    <t>庆铃五十铃（重庆）汽车销售服务有限公司</t>
  </si>
  <si>
    <t>Supplier_002</t>
  </si>
  <si>
    <t>庆铃五十铃重庆</t>
  </si>
  <si>
    <t>023-68408681</t>
  </si>
  <si>
    <t>915001076786808478</t>
  </si>
  <si>
    <t>建行重庆九龙坡九龙园支行</t>
  </si>
  <si>
    <t>50001030041052504265</t>
  </si>
  <si>
    <t>重庆市九龙坡区西彭镇永平路5号1、2幢</t>
  </si>
  <si>
    <t>重庆市新赛利汽车销售有限公司</t>
  </si>
  <si>
    <t>Supplier_003</t>
  </si>
  <si>
    <t>重庆新赛利</t>
  </si>
  <si>
    <t>023-47888611</t>
  </si>
  <si>
    <t>91500116MA5U99D93B</t>
  </si>
  <si>
    <t>农业银行凤鸣山支行</t>
  </si>
  <si>
    <t>31040201040011641</t>
  </si>
  <si>
    <t>重庆市江津双福新区和润国际汽摩城D12-1号</t>
  </si>
  <si>
    <t>广西柳工机械股份有限公司</t>
  </si>
  <si>
    <t>Supplier_004</t>
  </si>
  <si>
    <t>广西柳工</t>
  </si>
  <si>
    <t>肖梦梦</t>
  </si>
  <si>
    <t>91450200198229141F</t>
  </si>
  <si>
    <t>工行柳州市和平支行</t>
  </si>
  <si>
    <t>2105450819300009743</t>
  </si>
  <si>
    <t>广西壮族自治区柳州市柳太路1号</t>
  </si>
  <si>
    <t>程力专用汽车股份有限公司</t>
  </si>
  <si>
    <t>Supplier_005</t>
  </si>
  <si>
    <t>程力</t>
  </si>
  <si>
    <t>程云</t>
  </si>
  <si>
    <t xml:space="preserve"> 0722-3816669</t>
  </si>
  <si>
    <t>91421300764141823Q</t>
  </si>
  <si>
    <t>建行随州曾都支行</t>
  </si>
  <si>
    <t>42001813662050003420</t>
  </si>
  <si>
    <t>18272359088 / 0722-3816669</t>
  </si>
  <si>
    <t>湖北省随州市曾都区南郊</t>
  </si>
  <si>
    <t>重庆徐渝工程机械有限公司</t>
  </si>
  <si>
    <t>Supplier_006</t>
  </si>
  <si>
    <t>重庆徐渝</t>
  </si>
  <si>
    <t>023-68649958</t>
  </si>
  <si>
    <t>844834111@qq.com</t>
  </si>
  <si>
    <t>工程机械销售/租赁/维修服务商</t>
  </si>
  <si>
    <t>91500107077285366A</t>
  </si>
  <si>
    <t>建行</t>
  </si>
  <si>
    <t>50001030041052507798</t>
  </si>
  <si>
    <t>重庆九龙坡九龙园支行</t>
  </si>
  <si>
    <t>重庆市九龙坡区九龙园区C区九龙园大道38号办公楼一楼</t>
  </si>
  <si>
    <t>蒋超</t>
  </si>
  <si>
    <t>张景东</t>
  </si>
  <si>
    <t>存续</t>
  </si>
  <si>
    <t>焦作科瑞森重装股份有限公司</t>
  </si>
  <si>
    <t>Supplier_007</t>
  </si>
  <si>
    <t>焦作科瑞森重装</t>
  </si>
  <si>
    <t>秦啸</t>
  </si>
  <si>
    <t>0391-3683672</t>
  </si>
  <si>
    <t>15839198183</t>
  </si>
  <si>
    <t>qinxiao@jzcreation.com</t>
  </si>
  <si>
    <t>9141080075071861X6</t>
  </si>
  <si>
    <t>13%</t>
  </si>
  <si>
    <t>中国建设银行股份有限公司焦作人民东路支行</t>
  </si>
  <si>
    <t>41050164790800000368</t>
  </si>
  <si>
    <t>河南省焦作市高新区文苑街道神州路2878号</t>
  </si>
  <si>
    <t>姚光辉</t>
  </si>
  <si>
    <t>正常</t>
  </si>
  <si>
    <t>BMGG-MAZ-25067；BMGG-MAZ-DES-JZKRS；BMGG-MAZ-DES-JZKRS-5500-23026</t>
  </si>
  <si>
    <t>三一重型装备有限公司</t>
  </si>
  <si>
    <t>Supplier_008</t>
  </si>
  <si>
    <t>三一重装</t>
  </si>
  <si>
    <t>邓文旭</t>
  </si>
  <si>
    <t>024-89318406</t>
  </si>
  <si>
    <t>13898891601</t>
  </si>
  <si>
    <t>dengwx1@sany.com.cn</t>
  </si>
  <si>
    <t>91210106755513533W</t>
  </si>
  <si>
    <t>交通银行铁西支行</t>
  </si>
  <si>
    <t>211111203018150008862</t>
  </si>
  <si>
    <t>辽宁省沈阳市经济技术开发区开发大路25号</t>
  </si>
  <si>
    <t>戚建</t>
  </si>
  <si>
    <t>BMGG-MAZ-SYMT-23001；BMGG-MAZ-SYMT-23002；BMGG-MAZ-SYPJ-23001</t>
  </si>
  <si>
    <t>泰伯克（天津）机械设备有限公司</t>
  </si>
  <si>
    <t>Supplier_009</t>
  </si>
  <si>
    <t>泰伯克机械设备</t>
  </si>
  <si>
    <t>孙炫</t>
  </si>
  <si>
    <t>022-82958110</t>
  </si>
  <si>
    <t>13933395080</t>
  </si>
  <si>
    <t>taiboke@163.com</t>
  </si>
  <si>
    <t>91120222598701580K</t>
  </si>
  <si>
    <t>天津农商银行武清京滨支行</t>
  </si>
  <si>
    <t>天津市武清区京滨工业园民丰道6号内5#厂房101室</t>
  </si>
  <si>
    <t>刘骁</t>
  </si>
  <si>
    <t>3004801035；BMGG-MAZ-24118；BMGG-MAZ-PO-INS-JZKRS-5500-23025</t>
  </si>
  <si>
    <t>山东港通工程管理咨询有限公司</t>
  </si>
  <si>
    <t>Supplier_010</t>
  </si>
  <si>
    <t>港通工程管理咨询</t>
  </si>
  <si>
    <t>0535-6743605</t>
  </si>
  <si>
    <t>13589866170</t>
  </si>
  <si>
    <t>jnysjz@163.com</t>
  </si>
  <si>
    <t>91370600735776109D</t>
  </si>
  <si>
    <t>中国工商银行烟台市分行</t>
  </si>
  <si>
    <t>1606020509022176822</t>
  </si>
  <si>
    <t>山东省烟台市芝罘区环海路89号</t>
  </si>
  <si>
    <t>邓卫东</t>
  </si>
  <si>
    <t>BMGG-MAZ-DES-SDGTGC-5500-23023</t>
  </si>
  <si>
    <t>三一硅能（株洲）有限公司</t>
  </si>
  <si>
    <t>Supplier_011</t>
  </si>
  <si>
    <t>三一硅能</t>
  </si>
  <si>
    <t>骆阳</t>
  </si>
  <si>
    <t>18910172967</t>
  </si>
  <si>
    <t>luoy128@sany.com.cn</t>
  </si>
  <si>
    <t>91430204MABXDBAR2X</t>
  </si>
  <si>
    <t>中国工商银行长沙市星沙支行</t>
  </si>
  <si>
    <t>1901023009200392314</t>
  </si>
  <si>
    <t>湖南省株洲市石峰区铜塘湾街道清霞路333号</t>
  </si>
  <si>
    <t>BMGS-SANYSE-2026-001</t>
  </si>
  <si>
    <t>江苏金钰龙耐火材料科技有限公司</t>
  </si>
  <si>
    <t>Supplier_012</t>
  </si>
  <si>
    <t>金钰龙耐火材料科</t>
  </si>
  <si>
    <t>姚达</t>
  </si>
  <si>
    <t>15822621597</t>
  </si>
  <si>
    <t>91320481MA1Y2Y986U</t>
  </si>
  <si>
    <t>江苏省常州市溧阳市上黄镇扬子东路8号1幢</t>
  </si>
  <si>
    <t>BSRASC-2021020；BSRASC-2021025；BSRASC-2021032</t>
  </si>
  <si>
    <t>四川省中冶建设工程监理有限责任公司</t>
  </si>
  <si>
    <t>Supplier_013</t>
  </si>
  <si>
    <t>中冶建设工程监理</t>
  </si>
  <si>
    <t>陈洪</t>
  </si>
  <si>
    <t>15012010206</t>
  </si>
  <si>
    <t>709399596@qq.com</t>
  </si>
  <si>
    <t>91510000201883460B</t>
  </si>
  <si>
    <t>成都银行棕北支行</t>
  </si>
  <si>
    <t>15012010206148100018</t>
  </si>
  <si>
    <t>四川省成都市武侯区人民南路四段20号</t>
  </si>
  <si>
    <t>BMGG-MAZ；BMGG-MAZ-SUP-SCZYJS</t>
  </si>
  <si>
    <t>中煤科工重庆设计研究院（集团）有限公司</t>
  </si>
  <si>
    <t>Supplier_014</t>
  </si>
  <si>
    <t>中煤科工重庆设计</t>
  </si>
  <si>
    <t>13608380701</t>
  </si>
  <si>
    <t>332456460@qq.com</t>
  </si>
  <si>
    <t>915000002028031195</t>
  </si>
  <si>
    <t>6%</t>
  </si>
  <si>
    <t>工行重庆市袁家岗支行</t>
  </si>
  <si>
    <t>3100023619000041226</t>
  </si>
  <si>
    <t>重庆市渝中区大坪长江二路179号</t>
  </si>
  <si>
    <t>BMGG-MAZ-DES-ZMKGCQ；BMGG-MAZ-DES-ZMKGCQ-5500-23021；BMGG-ZMKG-DS-0001</t>
  </si>
  <si>
    <t>重庆重变电器有限责任公司</t>
  </si>
  <si>
    <t>Supplier_015</t>
  </si>
  <si>
    <t>重变电器</t>
  </si>
  <si>
    <t>吴长春</t>
  </si>
  <si>
    <t>13896086879</t>
  </si>
  <si>
    <t>419028326@qq.com</t>
  </si>
  <si>
    <t>915002242031267548</t>
  </si>
  <si>
    <t>中国银行重庆铜梁支行营业部</t>
  </si>
  <si>
    <t>重庆市铜梁区东城街道办事处金山大道19号</t>
  </si>
  <si>
    <t>樊俊良</t>
  </si>
  <si>
    <t>BMGG-MAZ-NWP-25006；BMGG-MAZ-PO-CQCBDQ；BMGG-MAZ-PO-CQCBDQ-5500</t>
  </si>
  <si>
    <t>焦作科瑞森重装股份有限公司运维分公司</t>
  </si>
  <si>
    <t>Supplier_016</t>
  </si>
  <si>
    <t>焦作科瑞森重装股</t>
  </si>
  <si>
    <t>李冲</t>
  </si>
  <si>
    <t>0391-8861051</t>
  </si>
  <si>
    <t>17516513412</t>
  </si>
  <si>
    <t>91410800MA481JKP0R</t>
  </si>
  <si>
    <t>上海浦东发展银行重庆分行</t>
  </si>
  <si>
    <t>418159999011000029369</t>
  </si>
  <si>
    <t>河南省焦作市示范区神州路2878号</t>
  </si>
  <si>
    <t>BMGG-Jiaozuo；BMGG-MAZ-DES-JZKRS-5500-23026；Contract</t>
  </si>
  <si>
    <t>重庆中硕空间钢结构工程有限公司</t>
  </si>
  <si>
    <t>Supplier_017</t>
  </si>
  <si>
    <t>中硕空间钢结构工</t>
  </si>
  <si>
    <t>李俊波</t>
  </si>
  <si>
    <t>023-86230032</t>
  </si>
  <si>
    <t>13002399140</t>
  </si>
  <si>
    <t>91500104666411332D</t>
  </si>
  <si>
    <t>3%</t>
  </si>
  <si>
    <t>中行大渡口双山路支行</t>
  </si>
  <si>
    <t>111609123206</t>
  </si>
  <si>
    <t>重庆市大渡口区松青路1000号附13-2号</t>
  </si>
  <si>
    <t>BMGG；BMGG-KIL15-GENSET-2022915</t>
  </si>
  <si>
    <t>中国重卡国际资本有限公司</t>
  </si>
  <si>
    <t>Supplier_018</t>
  </si>
  <si>
    <t>重卡国际资本</t>
  </si>
  <si>
    <t>15753268981</t>
  </si>
  <si>
    <t>境外企业</t>
  </si>
  <si>
    <t>中国香港 湾仔道165-171号幸运中心15楼1512室</t>
  </si>
  <si>
    <t>泊头市鑫龙除尘设备有限公司</t>
  </si>
  <si>
    <t>Supplier_019</t>
  </si>
  <si>
    <t>泊头市鑫龙除尘设</t>
  </si>
  <si>
    <t>李鑫</t>
  </si>
  <si>
    <t>0317-8313893</t>
  </si>
  <si>
    <t>18932772050</t>
  </si>
  <si>
    <t>91130981601245935P</t>
  </si>
  <si>
    <t>中国工商银行泊头市支行</t>
  </si>
  <si>
    <t>0408020009249021729</t>
  </si>
  <si>
    <t>河北省沧州市泊头市泊盐路</t>
  </si>
  <si>
    <t>李树才</t>
  </si>
  <si>
    <t>BMGG--15；BMGG-KIL15-INS-XINLONG；BS-BMGG-20230510</t>
  </si>
  <si>
    <t>重庆通用工业（集团）有限责任公司</t>
  </si>
  <si>
    <t>Supplier_020</t>
  </si>
  <si>
    <t>通用工业</t>
  </si>
  <si>
    <t>023-67659553</t>
  </si>
  <si>
    <t>9150000020286187X1</t>
  </si>
  <si>
    <t>工行南岸茶园支行</t>
  </si>
  <si>
    <t>重庆市南岸区机电路18号</t>
  </si>
  <si>
    <t>谢正茂</t>
  </si>
  <si>
    <t>BMGG-2021011；BMGGK14IDFAN-2021009；BS-BMGG-2021009</t>
  </si>
  <si>
    <t>石家庄工业泵厂有限公司</t>
  </si>
  <si>
    <t>Supplier_021</t>
  </si>
  <si>
    <t>石家庄工业泵厂</t>
  </si>
  <si>
    <t>高会军</t>
  </si>
  <si>
    <t>0311-80679675</t>
  </si>
  <si>
    <t>13832399086</t>
  </si>
  <si>
    <t>13832399086@sgb-pump.com</t>
  </si>
  <si>
    <t>911301076882378141</t>
  </si>
  <si>
    <t>中国工商银行股份有限公司井陉矿区支行</t>
  </si>
  <si>
    <t>河北省石家庄市井陉矿区井阳路5号</t>
  </si>
  <si>
    <t>宁建国</t>
  </si>
  <si>
    <t>BMGG-2025049；BMGG-MAZ-PO-SGB-5500-23030；BMGG-MAZ-PO-TCCTJ-5500-23025</t>
  </si>
  <si>
    <t>湖北铄诚专用汽车贸易有限公司</t>
  </si>
  <si>
    <t>Supplier_022</t>
  </si>
  <si>
    <t>铄诚专用汽车贸易</t>
  </si>
  <si>
    <t>13872885810</t>
  </si>
  <si>
    <t>914213000684375592</t>
  </si>
  <si>
    <t>1805021019250038883</t>
  </si>
  <si>
    <t>湖北省随州市曾都区新型工业基地9号</t>
  </si>
  <si>
    <t>BMGG-MAZ-HBLC-5500-23011；BMGG-MAZ-WATERB-5500-23009</t>
  </si>
  <si>
    <t>成都宏谷焊割设备有限公司</t>
  </si>
  <si>
    <t>Supplier_023</t>
  </si>
  <si>
    <t>成都宏谷焊割设备</t>
  </si>
  <si>
    <t>万勤</t>
  </si>
  <si>
    <t>028-87587990</t>
  </si>
  <si>
    <t>13880166977</t>
  </si>
  <si>
    <t>honguweld@126.com</t>
  </si>
  <si>
    <t>915101063430419550</t>
  </si>
  <si>
    <t>成都银行股份有限公司西延线支行</t>
  </si>
  <si>
    <t>1001300000414270</t>
  </si>
  <si>
    <t>四川省成都市金牛区营康路5号</t>
  </si>
  <si>
    <t>李倩</t>
  </si>
  <si>
    <t>BMGG-MAZ-PO-CDHG-5500-23037；BS-BMGG-2022032；BS-BMGG-2022068</t>
  </si>
  <si>
    <t>上海欧鲍实业有限公司</t>
  </si>
  <si>
    <t>Supplier_024</t>
  </si>
  <si>
    <t>欧鲍实业</t>
  </si>
  <si>
    <t>021-51987293</t>
  </si>
  <si>
    <t>15316053917</t>
  </si>
  <si>
    <t>91310114057649775X</t>
  </si>
  <si>
    <t>中国农业银行股份有限公司上海嘉定支行</t>
  </si>
  <si>
    <t>03807100040093993</t>
  </si>
  <si>
    <t>上海市嘉定区菊园新区环城路2222号1幢J1497室</t>
  </si>
  <si>
    <t>BMGG-MAZ-WELDER-5500-23035</t>
  </si>
  <si>
    <t>北京津加钢国际矿业设备有限公司</t>
  </si>
  <si>
    <t>Supplier_025</t>
  </si>
  <si>
    <t>津加钢国际矿业设</t>
  </si>
  <si>
    <t>朱建伦</t>
  </si>
  <si>
    <t>010-53601150</t>
  </si>
  <si>
    <t>13953763369</t>
  </si>
  <si>
    <t>1072466069@qq.com</t>
  </si>
  <si>
    <t>91110102069587268C</t>
  </si>
  <si>
    <t>中信银行北京金运大厦支行</t>
  </si>
  <si>
    <t>8110701013301625404</t>
  </si>
  <si>
    <t>北京市西城区德胜门外大街11号44号楼5层540室（德胜园区）</t>
  </si>
  <si>
    <t>高宽</t>
  </si>
  <si>
    <t>路洪超</t>
  </si>
  <si>
    <t>BMGG-MAZ-SHANTUI-5500-23004</t>
  </si>
  <si>
    <t>无锡市蒂拓硫化设备有限公司</t>
  </si>
  <si>
    <t>Supplier_026</t>
  </si>
  <si>
    <t>无锡市蒂拓硫化设</t>
  </si>
  <si>
    <t>杨华娟</t>
  </si>
  <si>
    <t>0510-85062219</t>
  </si>
  <si>
    <t>13921523173</t>
  </si>
  <si>
    <t>13921523173@163.com</t>
  </si>
  <si>
    <t>913202050934921890</t>
  </si>
  <si>
    <t>中国银行股份有限公司无锡查桥支行</t>
  </si>
  <si>
    <t>江苏省无锡市锡山区东港镇下庄工业园168号</t>
  </si>
  <si>
    <t>BMGG-MAZ-PO-WXDT-5500-23033</t>
  </si>
  <si>
    <t>江苏天瑞仪器股份有限公司</t>
  </si>
  <si>
    <t>Supplier_027</t>
  </si>
  <si>
    <t>天瑞仪器</t>
  </si>
  <si>
    <t>谢莎</t>
  </si>
  <si>
    <t>0512-57017037</t>
  </si>
  <si>
    <t>13708349143</t>
  </si>
  <si>
    <t>lihongmei@skyray-instrument.com</t>
  </si>
  <si>
    <t>913205007899341254</t>
  </si>
  <si>
    <t>中信银行昆山支行</t>
  </si>
  <si>
    <t>7323210182601007059</t>
  </si>
  <si>
    <t>江苏省苏州市昆山市中华园西路1888号</t>
  </si>
  <si>
    <t>刘召贵</t>
  </si>
  <si>
    <t>BJWY；BMGG-XRF20191224-1；BS-BMGG-2022041</t>
  </si>
  <si>
    <t>中国船舶重工集团公司</t>
  </si>
  <si>
    <t>Supplier_028</t>
  </si>
  <si>
    <t>船舶重工集团</t>
  </si>
  <si>
    <t>021-51711711</t>
  </si>
  <si>
    <t>9111000071092446XA</t>
  </si>
  <si>
    <t>建设银行上海莘庄工业园区支行</t>
  </si>
  <si>
    <t>31001594422059000711</t>
  </si>
  <si>
    <t>北京市海淀区昆明湖南路72号</t>
  </si>
  <si>
    <t>董建福</t>
  </si>
  <si>
    <t>随州市华隆汽车销售有限公司</t>
  </si>
  <si>
    <t>Supplier_029</t>
  </si>
  <si>
    <t>随州市华隆汽车销</t>
  </si>
  <si>
    <t>胡俊</t>
  </si>
  <si>
    <t>0722-3328857</t>
  </si>
  <si>
    <t>91421300685612148E</t>
  </si>
  <si>
    <t>工行随州分行</t>
  </si>
  <si>
    <t>1805020409250087958</t>
  </si>
  <si>
    <t>湖北省随州市曾都区曾都新型工业基地9号</t>
  </si>
  <si>
    <t>BMGG-MAZ-HLWB-2023009；BMGG-MAZ-WATERB-2023009</t>
  </si>
  <si>
    <t>焦作市源恒物流有限公司</t>
  </si>
  <si>
    <t>Supplier_030</t>
  </si>
  <si>
    <t>焦作市源恒物流</t>
  </si>
  <si>
    <t>郭彦刚</t>
  </si>
  <si>
    <t>13938136951</t>
  </si>
  <si>
    <t>847587386@qq.com</t>
  </si>
  <si>
    <t>91410800MA44R3AT49</t>
  </si>
  <si>
    <t>9%</t>
  </si>
  <si>
    <t>中原银行焦作分行营业部</t>
  </si>
  <si>
    <t>河南省焦作市示范区南海路与山阳路交叉口东300米路南1008号</t>
  </si>
  <si>
    <t>BMGG-MAZ-TRANS-JZYH-5500-23031；BMGG-MAZ-TRANS-JZYH-5500-24070</t>
  </si>
  <si>
    <t>南方泵业股份有限公司</t>
  </si>
  <si>
    <t>Supplier_085</t>
  </si>
  <si>
    <t>南方泵业</t>
  </si>
  <si>
    <t>甘常春</t>
  </si>
  <si>
    <t>15922967215</t>
  </si>
  <si>
    <t>39007732@qq.com</t>
  </si>
  <si>
    <t>吴柱臻</t>
  </si>
  <si>
    <t>设备/物资供应商</t>
  </si>
  <si>
    <t>91330000143853115H</t>
  </si>
  <si>
    <t>中国农业银行杭州仁和支行</t>
  </si>
  <si>
    <t>19051001040003358</t>
  </si>
  <si>
    <t>杭州市余杭区仁和街道仁河大道46号</t>
  </si>
  <si>
    <t>杭军</t>
  </si>
  <si>
    <t>启用</t>
  </si>
  <si>
    <t>赛摩智能科技集团股份有限公司</t>
  </si>
  <si>
    <t>Supplier_032</t>
  </si>
  <si>
    <t>赛摩智能科技集团</t>
  </si>
  <si>
    <t>秦翠</t>
  </si>
  <si>
    <t>0516-80295260</t>
  </si>
  <si>
    <t>18751615310</t>
  </si>
  <si>
    <t>qincui@saimo.cn</t>
  </si>
  <si>
    <t>91320300608014945G</t>
  </si>
  <si>
    <t>交通银行徐州开发区支行</t>
  </si>
  <si>
    <t>江苏省徐州市经济技术开发区螺山2号</t>
  </si>
  <si>
    <t>BMGG-MAZ-PO-SMZNKJ-5500-24106</t>
  </si>
  <si>
    <t>青岛高晟工程机械租赁有限公司</t>
  </si>
  <si>
    <t>Supplier_033</t>
  </si>
  <si>
    <t>青岛高晟工程机械</t>
  </si>
  <si>
    <t>91370214334197042E</t>
  </si>
  <si>
    <t>青岛农商银行股份有限公司城阳西城支行</t>
  </si>
  <si>
    <t>9020102300642050009958</t>
  </si>
  <si>
    <t>山东省青岛市高新区智力岛路1号创业大厦B座306室A-479</t>
  </si>
  <si>
    <t>苏林昌</t>
  </si>
  <si>
    <t>Supplier_034</t>
  </si>
  <si>
    <t>程力专用汽车</t>
  </si>
  <si>
    <t>18272359088</t>
  </si>
  <si>
    <t>565157553152</t>
  </si>
  <si>
    <t>湖北省随州市南郊平原岗程力汽车工业园</t>
  </si>
  <si>
    <t>BMGG-MAZ-CHENGLI-5500-23015</t>
  </si>
  <si>
    <t>湖北五环专用汽车有限公司</t>
  </si>
  <si>
    <t>Supplier_035</t>
  </si>
  <si>
    <t>五环专用汽车</t>
  </si>
  <si>
    <t>李建莉</t>
  </si>
  <si>
    <t>13597840300</t>
  </si>
  <si>
    <t>91421300679783151G</t>
  </si>
  <si>
    <t>中国农业银行股份有限公司随州城南支行</t>
  </si>
  <si>
    <t>17782901048888880</t>
  </si>
  <si>
    <t>湖北省随州市经济开发区交通大道K155号</t>
  </si>
  <si>
    <t>王小华</t>
  </si>
  <si>
    <t>BMGG-MAZ-HBLC-23011；BMGG-MAZ-WUHUAN-5500-23014</t>
  </si>
  <si>
    <t>河北北方窑业工程有限公司</t>
  </si>
  <si>
    <t>Supplier_036</t>
  </si>
  <si>
    <t>北方窑业工程</t>
  </si>
  <si>
    <t>911301277009649005</t>
  </si>
  <si>
    <t>河北省石家庄市高邑县高邑镇千秋路339号1排208室</t>
  </si>
  <si>
    <t>BMGG-KIL15-INS-BRK</t>
  </si>
  <si>
    <t>盛隆电气集团有限公司</t>
  </si>
  <si>
    <t>Supplier_037</t>
  </si>
  <si>
    <t>盛隆电气</t>
  </si>
  <si>
    <t>刘晨</t>
  </si>
  <si>
    <t>13476155677</t>
  </si>
  <si>
    <t>36492636@qq.com</t>
  </si>
  <si>
    <t>91420000714523567B</t>
  </si>
  <si>
    <t>工商银行武汉关东工业园支行</t>
  </si>
  <si>
    <t>湖北省武汉市东湖新技术开发区高新二路40号盛隆电气集团总部1-1</t>
  </si>
  <si>
    <t>谢元德</t>
  </si>
  <si>
    <t>BMGG-MAZ-PO-SLDQJT-5500-23039；BMGG-MAZ-PO-SLDQJT-5500-23048</t>
  </si>
  <si>
    <t>中船重工（上海）新能源有限公司</t>
  </si>
  <si>
    <t>Supplier_038</t>
  </si>
  <si>
    <t>中船重工新能源</t>
  </si>
  <si>
    <t>913101155647651809</t>
  </si>
  <si>
    <t>中国（上海）自由贸易试验区牛顿路400号3号楼107、109、111室</t>
  </si>
  <si>
    <t>贺志坚</t>
  </si>
  <si>
    <t>BMGS-PO-ZCZG（SH）SNY-001</t>
  </si>
  <si>
    <t>内蒙古北方重型汽车股份有限公司</t>
  </si>
  <si>
    <t>Supplier_039</t>
  </si>
  <si>
    <t>北方重型汽车</t>
  </si>
  <si>
    <t>0472-2220788</t>
  </si>
  <si>
    <t>911502006264414226</t>
  </si>
  <si>
    <t>中国银行包头分行</t>
  </si>
  <si>
    <t>158301791508091001</t>
  </si>
  <si>
    <t>内蒙古自治区包头市稀土高新技术产业开发区</t>
  </si>
  <si>
    <t>BMGG/BMGS/GMI</t>
  </si>
  <si>
    <t>重庆重通罗茨鼓风机有限公司</t>
  </si>
  <si>
    <t>Supplier_040</t>
  </si>
  <si>
    <t>重通罗茨鼓风机</t>
  </si>
  <si>
    <t>023-65266536</t>
  </si>
  <si>
    <t>13368117860</t>
  </si>
  <si>
    <t>9150011279352580X3</t>
  </si>
  <si>
    <t>中国银行重庆渝北支行</t>
  </si>
  <si>
    <t>111606218331</t>
  </si>
  <si>
    <t>重庆市渝北区龙溪街道办事处松石南路38号A幢6-1</t>
  </si>
  <si>
    <t>BS-BMGG-2022090</t>
  </si>
  <si>
    <t>江苏苏滤环保科技有限公司</t>
  </si>
  <si>
    <t>Supplier_041</t>
  </si>
  <si>
    <t>苏滤环保科技</t>
  </si>
  <si>
    <t>0519-81818669</t>
  </si>
  <si>
    <t>17751599992</t>
  </si>
  <si>
    <t>1119336655@qq.com</t>
  </si>
  <si>
    <t>91320411MA20XTAC1N</t>
  </si>
  <si>
    <t>中国工商银行股份有限公司常州春江支行</t>
  </si>
  <si>
    <t>江苏省常州市新北区春江中路171号-411</t>
  </si>
  <si>
    <t>BMGG-MAZ-PO-JSSLHB-5500-23046</t>
  </si>
  <si>
    <t>中国路桥工程有限责任公司</t>
  </si>
  <si>
    <t>Supplier_042</t>
  </si>
  <si>
    <t>路桥工程</t>
  </si>
  <si>
    <t>文川</t>
  </si>
  <si>
    <t>ccc_guy2023@163.com</t>
  </si>
  <si>
    <t>911100007109338178</t>
  </si>
  <si>
    <t>北京市东城区安定门外大街丙88号1008</t>
  </si>
  <si>
    <t>BMGG-MAZ-CE-ZJ-5500-23034</t>
  </si>
  <si>
    <t>重庆承信维科技有限公司</t>
  </si>
  <si>
    <t>Supplier_043</t>
  </si>
  <si>
    <t>承信维科技</t>
  </si>
  <si>
    <t>91500107MA60AKCC12</t>
  </si>
  <si>
    <t>重庆市九龙坡区渝州路18号高创锦业17-2号</t>
  </si>
  <si>
    <t>易初明通投资有限公司</t>
  </si>
  <si>
    <t>Supplier_044</t>
  </si>
  <si>
    <t>易初明通投资</t>
  </si>
  <si>
    <t>13983287518</t>
  </si>
  <si>
    <t>pengzhubo@eci-metro.cn</t>
  </si>
  <si>
    <t>91510112698859721C</t>
  </si>
  <si>
    <t>英属维尔京群岛（BVI）；中国运营总部：云南省昆明经济技术开发区经华路6号</t>
  </si>
  <si>
    <t>BMGG-MAZ-ECIM-5500-23006</t>
  </si>
  <si>
    <t>四川易初明通工程机械维修服务有限公司</t>
  </si>
  <si>
    <t>Supplier_045</t>
  </si>
  <si>
    <t>易初明通工程机械</t>
  </si>
  <si>
    <t>彭著波</t>
  </si>
  <si>
    <t>028-88456888</t>
  </si>
  <si>
    <t>91510100621707770G</t>
  </si>
  <si>
    <t>中国工商银行股份有限公司成都峨影支行</t>
  </si>
  <si>
    <t>4402265009024201396</t>
  </si>
  <si>
    <t>四川省成都市经济技术开发区（龙泉驿区）成龙大道二段1998号</t>
  </si>
  <si>
    <t>BMGG-MAZ-ECIM-5500-23007</t>
  </si>
  <si>
    <t>重庆合力叉车有限公司</t>
  </si>
  <si>
    <t>Supplier_046</t>
  </si>
  <si>
    <t>合力叉车</t>
  </si>
  <si>
    <t>023-68603252</t>
  </si>
  <si>
    <t>13594385593</t>
  </si>
  <si>
    <t>91500106774856726T</t>
  </si>
  <si>
    <t>工行鱼嘴支行</t>
  </si>
  <si>
    <t>3100039119100024787</t>
  </si>
  <si>
    <t>重庆市江北区复盛镇渝康大道72号16幢</t>
  </si>
  <si>
    <t>张勇</t>
  </si>
  <si>
    <t>BS-BMGG-20230XX</t>
  </si>
  <si>
    <t>洛阳九亿重工集团有限公司</t>
  </si>
  <si>
    <t>Supplier_047</t>
  </si>
  <si>
    <t>洛阳九亿重工</t>
  </si>
  <si>
    <t>李帅军</t>
  </si>
  <si>
    <t>0379-67311968</t>
  </si>
  <si>
    <t>15036376907</t>
  </si>
  <si>
    <t>914103236716565104</t>
  </si>
  <si>
    <t>交通银行文化支行</t>
  </si>
  <si>
    <t>413067000018150053233</t>
  </si>
  <si>
    <t>河南省洛阳市新安县经济技术开发区洛新园区福星路91号</t>
  </si>
  <si>
    <t>王颖珂</t>
  </si>
  <si>
    <t>BS-BMGG-2023007；BS-BMGG-2023021</t>
  </si>
  <si>
    <t>天津荣信船务代理有限公司</t>
  </si>
  <si>
    <t>Supplier_048</t>
  </si>
  <si>
    <t>荣信船务代理</t>
  </si>
  <si>
    <t>91120116675954806A</t>
  </si>
  <si>
    <t>天津经济技术开发区泰怡园1-1-1602</t>
  </si>
  <si>
    <t>BMGG-2022025HD</t>
  </si>
  <si>
    <t>三一重机有限公司</t>
  </si>
  <si>
    <t>Supplier_049</t>
  </si>
  <si>
    <t>三一重机</t>
  </si>
  <si>
    <t>封富元</t>
  </si>
  <si>
    <t>18267159163</t>
  </si>
  <si>
    <t>ron.feng@sany-americalatina.com</t>
  </si>
  <si>
    <t>91320583753205545N</t>
  </si>
  <si>
    <t>宁波银行苏州昆山支行营业部</t>
  </si>
  <si>
    <t>750901220000401832</t>
  </si>
  <si>
    <t>江苏省昆山开发区环城东路</t>
  </si>
  <si>
    <t>陈家元</t>
  </si>
  <si>
    <t>BMGG-MAZ-SANY-23003</t>
  </si>
  <si>
    <t>河北瑞成门窗有限公司</t>
  </si>
  <si>
    <t>Supplier_050</t>
  </si>
  <si>
    <t>瑞成门窗</t>
  </si>
  <si>
    <t>15830802033</t>
  </si>
  <si>
    <t>91130982398897494D</t>
  </si>
  <si>
    <t>中国建设银行股份有限公司华北石油任南支行</t>
  </si>
  <si>
    <t>13001690200059788888</t>
  </si>
  <si>
    <t>河北省沧州市任丘市石门桥镇崔家庄村139号</t>
  </si>
  <si>
    <t>李占常</t>
  </si>
  <si>
    <t>BS-BMGG-2023022</t>
  </si>
  <si>
    <t>七冶建设集团有限责任公司</t>
  </si>
  <si>
    <t>Supplier_051</t>
  </si>
  <si>
    <t>七冶建设集团</t>
  </si>
  <si>
    <t>0851-4601084</t>
  </si>
  <si>
    <t>915200006754090663</t>
  </si>
  <si>
    <t>中国建设银行股份有限公司贵阳金阳支行</t>
  </si>
  <si>
    <t>贵州省贵阳市白云区白云南路188号</t>
  </si>
  <si>
    <t>刘昭义</t>
  </si>
  <si>
    <t>BSG-GYN-BMGG-2019-001</t>
  </si>
  <si>
    <t>重庆蚁煌供应链管理有限责任公司</t>
  </si>
  <si>
    <t>Supplier_052</t>
  </si>
  <si>
    <t>蚁煌供应链管理</t>
  </si>
  <si>
    <t>田军</t>
  </si>
  <si>
    <t>18696790101</t>
  </si>
  <si>
    <t>91500000MA5YU26F7B</t>
  </si>
  <si>
    <t>工商银行重庆北部新区支行</t>
  </si>
  <si>
    <t>3100032009100252157</t>
  </si>
  <si>
    <t>重庆市北部新区经开园金渝大道111号华荣市场A326</t>
  </si>
  <si>
    <t>BS-YH2021012</t>
  </si>
  <si>
    <t>镇江中远海运物流有限公司</t>
  </si>
  <si>
    <t>Supplier_053</t>
  </si>
  <si>
    <t>镇江中远海运物流</t>
  </si>
  <si>
    <t>9132110072518859XX</t>
  </si>
  <si>
    <t>江苏省镇江市新区大港通港路130号</t>
  </si>
  <si>
    <t>BS-BMGG-2020110</t>
  </si>
  <si>
    <t>重庆市136地质队</t>
  </si>
  <si>
    <t>Supplier_054</t>
  </si>
  <si>
    <t>136地质队</t>
  </si>
  <si>
    <t>周中成</t>
  </si>
  <si>
    <t>023-67175372</t>
  </si>
  <si>
    <t>13637811666</t>
  </si>
  <si>
    <t>363597585@qq.com</t>
  </si>
  <si>
    <t>12500000742871331P</t>
  </si>
  <si>
    <t>50001063600050017886</t>
  </si>
  <si>
    <t>重庆市渝北区龙溪镇花卉园西一路9号</t>
  </si>
  <si>
    <t>BMGG-2025</t>
  </si>
  <si>
    <t>广西防城港华铭建筑安装有限公司</t>
  </si>
  <si>
    <t>Supplier_055</t>
  </si>
  <si>
    <t>防城港华铭建筑安</t>
  </si>
  <si>
    <t>宋新建</t>
  </si>
  <si>
    <t>13807763184</t>
  </si>
  <si>
    <t>13807763184@139.com</t>
  </si>
  <si>
    <t>91450602MA5PJ8GQ91</t>
  </si>
  <si>
    <t>中国建设银行股份有限公司防城港分行</t>
  </si>
  <si>
    <t>45050165958800001018</t>
  </si>
  <si>
    <t>广西壮族自治区防城港市港口区迎宾路1号金海湾小区C4组团A区一、二层04号铺</t>
  </si>
  <si>
    <t>2023WB-097</t>
  </si>
  <si>
    <t>北京智美通科技有限公司</t>
  </si>
  <si>
    <t>Supplier_056</t>
  </si>
  <si>
    <t>智美通科技</t>
  </si>
  <si>
    <t>张添翼</t>
  </si>
  <si>
    <t>15810937061</t>
  </si>
  <si>
    <t>91110228MA01DBNA72</t>
  </si>
  <si>
    <t>中国民生银行北京大兴新城支行</t>
  </si>
  <si>
    <t>北京市密云区穆家峪镇穆峪南街1号镇政府办公楼401室-904</t>
  </si>
  <si>
    <t>BMGG-MAZ-ZMT-5500-23018</t>
  </si>
  <si>
    <t>厦门金龙旅行车有限公司</t>
  </si>
  <si>
    <t>Supplier_057</t>
  </si>
  <si>
    <t>厦门金龙旅行车</t>
  </si>
  <si>
    <t>91350200612012520X</t>
  </si>
  <si>
    <t>中国建设银行厦门分行厦禾支行</t>
  </si>
  <si>
    <t>35114561000220101694</t>
  </si>
  <si>
    <t>福建省厦门市湖里区湖里大道69号（办公楼）</t>
  </si>
  <si>
    <t>BMGG-MAZ-GOLDENDRAGONBUS-5500-23010</t>
  </si>
  <si>
    <t>徐州徐矿业机械有限公司</t>
  </si>
  <si>
    <t>Supplier_058</t>
  </si>
  <si>
    <t>徐州徐矿业机械</t>
  </si>
  <si>
    <t>18883987066</t>
  </si>
  <si>
    <t>quxiaolong@xcmg.com</t>
  </si>
  <si>
    <t>91320301MA1MA70W4N</t>
  </si>
  <si>
    <t>1106020109200422949</t>
  </si>
  <si>
    <t>江苏省徐州经济技术开发区和平大道169号</t>
  </si>
  <si>
    <t>重型汽车（杭州）有限公司</t>
  </si>
  <si>
    <t>Supplier_059</t>
  </si>
  <si>
    <t>重型汽车</t>
  </si>
  <si>
    <t>913301045865179110</t>
  </si>
  <si>
    <t>71032025000067314</t>
  </si>
  <si>
    <t>浙江省杭州市上城区秋涛路258号1号楼18层1802号</t>
  </si>
  <si>
    <t>BMGG-MAZ-HDTC-5500-23016</t>
  </si>
  <si>
    <t>中新互联互通（重庆）物流发展有限公司</t>
  </si>
  <si>
    <t>Supplier_060</t>
  </si>
  <si>
    <t>中新互联互通物流</t>
  </si>
  <si>
    <t>郭娜</t>
  </si>
  <si>
    <t>susan@ssccs.com.cn</t>
  </si>
  <si>
    <t>91500000MA5YNLEW0U</t>
  </si>
  <si>
    <t>中国工商银行股份有限公司重庆两江分行</t>
  </si>
  <si>
    <t>3100020209200156222</t>
  </si>
  <si>
    <t>重庆市江北区鱼嘴镇永和路39号2层208室</t>
  </si>
  <si>
    <t>SSCCS20230519001</t>
  </si>
  <si>
    <t>重庆恒昌玻璃钢有限公司</t>
  </si>
  <si>
    <t>Supplier_061</t>
  </si>
  <si>
    <t>恒昌玻璃钢</t>
  </si>
  <si>
    <t>91500104202986218W</t>
  </si>
  <si>
    <t>重庆市大渡口区八桥镇互助村七社33栋1层附1号</t>
  </si>
  <si>
    <t>BS-BMGG-2023008</t>
  </si>
  <si>
    <t>江西钰煌工程机械有限公司</t>
  </si>
  <si>
    <t>Supplier_062</t>
  </si>
  <si>
    <t>钰煌工程机械</t>
  </si>
  <si>
    <t>李泉</t>
  </si>
  <si>
    <t>91360121MA37U0HN9Y</t>
  </si>
  <si>
    <t>中国银行南昌市红谷滩支行营业部</t>
  </si>
  <si>
    <t>194741433738</t>
  </si>
  <si>
    <t>江西省南昌市南昌县小蓝经济技术开发区汽车大道72号江西省农机大市场3栋09号</t>
  </si>
  <si>
    <t>刘琳</t>
  </si>
  <si>
    <t>BS-BMGG-2022063</t>
  </si>
  <si>
    <t>江苏徐工电子商务股份有限公司</t>
  </si>
  <si>
    <t>Supplier_063</t>
  </si>
  <si>
    <t>徐工电子商务</t>
  </si>
  <si>
    <t>0516-87739198</t>
  </si>
  <si>
    <t>18523815300</t>
  </si>
  <si>
    <t>91320300MA1UTBL247</t>
  </si>
  <si>
    <t>江苏银行徐州科技支行</t>
  </si>
  <si>
    <t>60170188000116802</t>
  </si>
  <si>
    <t>江苏省徐州市泉山区软件园路6号徐州软件园1号楼C座505室</t>
  </si>
  <si>
    <t>BS-BMGG-2022067</t>
  </si>
  <si>
    <t>三一集团有限公司</t>
  </si>
  <si>
    <t>Supplier_064</t>
  </si>
  <si>
    <t>三一</t>
  </si>
  <si>
    <t>0731-84031888</t>
  </si>
  <si>
    <t>91430000722592271H</t>
  </si>
  <si>
    <t>湖南省长沙市经济技术开发区三一路三一工业城三一行政中心三楼</t>
  </si>
  <si>
    <t>唐修国</t>
  </si>
  <si>
    <t>重庆度地建筑设计有限公司</t>
  </si>
  <si>
    <t>Supplier_065</t>
  </si>
  <si>
    <t>度地建筑设计</t>
  </si>
  <si>
    <t>91500108MA5YQATM0Q</t>
  </si>
  <si>
    <t>中国农业银行股份有限公司重庆中华坊分行</t>
  </si>
  <si>
    <t>31011601040004600</t>
  </si>
  <si>
    <t>重庆市南岸区茶园新区香溪路1号附9号3-5</t>
  </si>
  <si>
    <t>BMGG-MAZ-24121</t>
  </si>
  <si>
    <t>淄博海慧工程设计咨询有限公司</t>
  </si>
  <si>
    <t>Supplier_066</t>
  </si>
  <si>
    <t>淄博海慧工程设计</t>
  </si>
  <si>
    <t>91370303MA3D1UN830</t>
  </si>
  <si>
    <t>山东省淄博市张店区柳泉路甲45号</t>
  </si>
  <si>
    <t>潍坊泉创重工科技有限公司</t>
  </si>
  <si>
    <t>Supplier_067</t>
  </si>
  <si>
    <t>潍坊泉创重工科技</t>
  </si>
  <si>
    <t>0536-3669388</t>
  </si>
  <si>
    <t>19805363388</t>
  </si>
  <si>
    <t>91370724MA3ML0KE9E</t>
  </si>
  <si>
    <t>中国工商银行股份有限公司临朐支行</t>
  </si>
  <si>
    <t>山东省潍坊市临朐县东城街道朐阳路一街5号</t>
  </si>
  <si>
    <t>刘万香</t>
  </si>
  <si>
    <t>刘存强</t>
  </si>
  <si>
    <t>BMGG-MAZ-25022</t>
  </si>
  <si>
    <t>贵州七冶国际工程有限公司</t>
  </si>
  <si>
    <t>Supplier_068</t>
  </si>
  <si>
    <t>七冶国际工程</t>
  </si>
  <si>
    <t>91520113MADFN3251B</t>
  </si>
  <si>
    <t>贵州省贵阳市白云区白云南路188号9层1号</t>
  </si>
  <si>
    <t>2026BS-YNDJL-056</t>
  </si>
  <si>
    <t>长兴县跃进磨料有限公司</t>
  </si>
  <si>
    <t>Supplier_069</t>
  </si>
  <si>
    <t>长兴县跃进磨料</t>
  </si>
  <si>
    <t>91330522704468760J</t>
  </si>
  <si>
    <t>浙江省湖州市长兴县夹浦镇陶家湾</t>
  </si>
  <si>
    <t>新加坡赛特国际投资有限公司</t>
  </si>
  <si>
    <t>Supplier_070</t>
  </si>
  <si>
    <t>新加坡赛特国际投</t>
  </si>
  <si>
    <t>新加坡 罗敏申路160号新加坡工商联合总会中心#19-06（邮编068914）</t>
  </si>
  <si>
    <t>震坤行工业超市（上海）有限公司</t>
  </si>
  <si>
    <t>Supplier_071</t>
  </si>
  <si>
    <t>震坤行</t>
  </si>
  <si>
    <t>021-80138057</t>
  </si>
  <si>
    <t>15223882873</t>
  </si>
  <si>
    <t>91310118632206381P</t>
  </si>
  <si>
    <t>中国银行上海市张江支行</t>
  </si>
  <si>
    <t>450766344103</t>
  </si>
  <si>
    <t>上海市青浦区练塘镇朱枫公路3424号2144室</t>
  </si>
  <si>
    <t>2022061517315400001A</t>
  </si>
  <si>
    <t>天津安华斯特消防工程有限公司</t>
  </si>
  <si>
    <t>Supplier_072</t>
  </si>
  <si>
    <t>安华斯特消防工程</t>
  </si>
  <si>
    <t>911201050698731689</t>
  </si>
  <si>
    <t>天津市河北区宁园街万柳村大街56号</t>
  </si>
  <si>
    <t>2022WB-1309</t>
  </si>
  <si>
    <t>张家港长寿工业设备制造有限公司</t>
  </si>
  <si>
    <t>Supplier_073</t>
  </si>
  <si>
    <t>张家港长寿工业设</t>
  </si>
  <si>
    <t>张林</t>
  </si>
  <si>
    <t>0512-58798728</t>
  </si>
  <si>
    <t>13390831833</t>
  </si>
  <si>
    <t>731753214@QQ.com</t>
  </si>
  <si>
    <t>913205826709726695</t>
  </si>
  <si>
    <t>中国工商银行张家港城北分行</t>
  </si>
  <si>
    <t>江苏省苏州市张家港经济技术开发区东黎路4号</t>
  </si>
  <si>
    <t>张明祥</t>
  </si>
  <si>
    <t>Supplier_074</t>
  </si>
  <si>
    <t>徐渝工程机械</t>
  </si>
  <si>
    <t>15923054693</t>
  </si>
  <si>
    <t>BMGG-MAZ-XUGONG-24099</t>
  </si>
  <si>
    <t>昆明茨坝矿山机械有限公司</t>
  </si>
  <si>
    <t>Supplier_075</t>
  </si>
  <si>
    <t>昆明茨坝矿山机械</t>
  </si>
  <si>
    <t>张云波</t>
  </si>
  <si>
    <t>13888772631</t>
  </si>
  <si>
    <t>1254385286@qq.com</t>
  </si>
  <si>
    <t>91530103216711354K</t>
  </si>
  <si>
    <t>昆明市盘龙区茨坝农村信用社</t>
  </si>
  <si>
    <t>云南省昆明市盘龙区茨坝花渔沟村398号</t>
  </si>
  <si>
    <t>张慰平</t>
  </si>
  <si>
    <t>BMGG-MAZ-25067</t>
  </si>
  <si>
    <t>宜兴超燕耐火光电有限公司</t>
  </si>
  <si>
    <t>Supplier_076</t>
  </si>
  <si>
    <t>宜兴超燕耐火光电</t>
  </si>
  <si>
    <t>9132028279334921XM</t>
  </si>
  <si>
    <t>江苏省无锡市宜兴市丁蜀镇张泽村</t>
  </si>
  <si>
    <t>中交疏浚美洲区域公司圭亚那分公司</t>
  </si>
  <si>
    <t>Supplier_077</t>
  </si>
  <si>
    <t>中交疏浚美洲区域</t>
  </si>
  <si>
    <t>圭亚那（隶属中交疏浚（集团）股份有限公司美洲区域公司）</t>
  </si>
  <si>
    <t>江苏鹏飞集团股份有限公司</t>
  </si>
  <si>
    <t>Supplier_078</t>
  </si>
  <si>
    <t>鹏飞集团</t>
  </si>
  <si>
    <t>0513-88755315</t>
  </si>
  <si>
    <t>13906278804</t>
  </si>
  <si>
    <t>913200007406524508</t>
  </si>
  <si>
    <t>中国银行海安支行</t>
  </si>
  <si>
    <t>江苏省南通市海安市北郊贲家集</t>
  </si>
  <si>
    <t>王家安</t>
  </si>
  <si>
    <t>BMGG2018-15KILN</t>
  </si>
  <si>
    <t>客户</t>
  </si>
  <si>
    <t>天津博东物流发展有限公司</t>
  </si>
  <si>
    <t>Client_001</t>
  </si>
  <si>
    <t>博东物流发展</t>
  </si>
  <si>
    <t>91120116732800628H</t>
  </si>
  <si>
    <t>天津自贸试验区（空港经济区）环河南路88号标准厂房2-3342号</t>
  </si>
  <si>
    <t>BDWL0713</t>
  </si>
  <si>
    <t>江苏国豪耐火科技有限公司</t>
  </si>
  <si>
    <t>Client_002</t>
  </si>
  <si>
    <t>国豪耐火科技</t>
  </si>
  <si>
    <t>91320282550281951U</t>
  </si>
  <si>
    <t>江苏省无锡市宜兴市丁蜀镇施荡村</t>
  </si>
  <si>
    <t>BSRASC-2021024</t>
  </si>
  <si>
    <t>浙江自立新材料股份有限公司</t>
  </si>
  <si>
    <t>Client_003</t>
  </si>
  <si>
    <t>自立新材料</t>
  </si>
  <si>
    <t>0575-82721601</t>
  </si>
  <si>
    <t>91330604087394232P</t>
  </si>
  <si>
    <t>上海浦东发展银行绍兴上虞支行</t>
  </si>
  <si>
    <t>85070154740013577</t>
  </si>
  <si>
    <t>浙江省绍兴市上虞区杭州湾上虞经济技术开发区</t>
  </si>
  <si>
    <t>陈维东</t>
  </si>
  <si>
    <t>BSRASC--2021027</t>
  </si>
  <si>
    <t>宁波海田国际货运有限公司</t>
  </si>
  <si>
    <t>Client_004</t>
  </si>
  <si>
    <t>宁波海田国际货运</t>
  </si>
  <si>
    <t>913302057281162414</t>
  </si>
  <si>
    <t>上海浦东发展银行宁波市分行</t>
  </si>
  <si>
    <t>94010155350001343</t>
  </si>
  <si>
    <t>浙江省宁波市鄞州区宝华街77号（8-2）</t>
  </si>
  <si>
    <t>山东胜诚钢结构销售有限公司</t>
  </si>
  <si>
    <t>Supplier_079</t>
  </si>
  <si>
    <t>胜诚钢结构</t>
  </si>
  <si>
    <t>王世峰</t>
  </si>
  <si>
    <t>zpynwz@163.com</t>
  </si>
  <si>
    <t>91371626MA3NDBGA86</t>
  </si>
  <si>
    <t>山东邹平农村商业银行股份有限公司</t>
  </si>
  <si>
    <t>2660044614205000011884</t>
  </si>
  <si>
    <t>山东邹平农村商业银行股份有限公司韩店支行</t>
  </si>
  <si>
    <t>山东省邹平市韩店镇东白村东北</t>
  </si>
  <si>
    <t>Supplier_080</t>
  </si>
  <si>
    <t>泊头鑫龙</t>
  </si>
  <si>
    <t>除尘设备/材料成品件供应商</t>
  </si>
  <si>
    <t>中国工商银行股份有限公司泊头支行</t>
  </si>
  <si>
    <t>河北省泊头市泊南路188号</t>
  </si>
  <si>
    <t>未提供</t>
  </si>
  <si>
    <t>重庆鑫方盛电子商务有限公司</t>
  </si>
  <si>
    <t>Supplier_081</t>
  </si>
  <si>
    <t>鑫方盛</t>
  </si>
  <si>
    <t>张华磊</t>
  </si>
  <si>
    <t>715086875@qq.com</t>
  </si>
  <si>
    <t>建筑材料（含辅材）、五金机电、工业品等</t>
  </si>
  <si>
    <t>91500107663561511M</t>
  </si>
  <si>
    <t>交通银行股份有限公司九龙园支行</t>
  </si>
  <si>
    <t>500113091018010014432</t>
  </si>
  <si>
    <t>重庆市九龙坡区西彭镇森迪大道141号</t>
  </si>
  <si>
    <t>张晓贝</t>
  </si>
  <si>
    <t>战略合作供应商；合同编号未有效填写；签订日期2026.01.01；期限2026.1.1-2026.12.31</t>
  </si>
  <si>
    <t>西域智慧供应链(上海)股份公司</t>
  </si>
  <si>
    <t>Supplier_082</t>
  </si>
  <si>
    <t>西域</t>
  </si>
  <si>
    <t>王新征</t>
  </si>
  <si>
    <t>021-68828866</t>
  </si>
  <si>
    <t>sean_wangl@ehsy.com</t>
  </si>
  <si>
    <t>91310000734574775Q</t>
  </si>
  <si>
    <t>西域智慧供应链（上海）股份公司</t>
  </si>
  <si>
    <t>招商银行上海张江支行</t>
  </si>
  <si>
    <t>121904862910806</t>
  </si>
  <si>
    <t>中国（上海）自由贸易试验区中科路1819号第16层</t>
  </si>
  <si>
    <t>叶永清</t>
  </si>
  <si>
    <t>邹正</t>
  </si>
  <si>
    <t>战略合作供应商；合同编号GX2026-05001；签订日期2026.05.31；期限2026.5.31-2027.5.31；框架折扣率A 86%/B 87%/C 88%；年度预计协议采购额2000万~3000万；结算：发票后60天电汇50%+半年期银行承兑50%；税率13%；重庆业务专员2人、四川1人</t>
  </si>
  <si>
    <t>内蒙古精创电气有限公司</t>
  </si>
  <si>
    <t>Supplier_083</t>
  </si>
  <si>
    <t>陈泽</t>
  </si>
  <si>
    <t>330198873@qq.com</t>
  </si>
  <si>
    <t>贸易商</t>
  </si>
  <si>
    <t>91150981MA13PTJF0C</t>
  </si>
  <si>
    <t>中国银行股份有限公司</t>
  </si>
  <si>
    <t>149266012411</t>
  </si>
  <si>
    <t xml:space="preserve">中国银行股份有限公司丰镇支行营业部
</t>
  </si>
  <si>
    <t>内蒙古自治区乌兰察布市丰镇市旧城区西巨墙街南栅原物资局院</t>
  </si>
  <si>
    <t>浙江省温州市乐清市柳市镇前垟洞村前垟环路河边变压器旁东边两间</t>
  </si>
  <si>
    <t>陈福余</t>
  </si>
  <si>
    <t>Supplier_084</t>
  </si>
  <si>
    <t>昆明茨坝矿机</t>
  </si>
  <si>
    <t>张</t>
  </si>
  <si>
    <t>设备制造商</t>
  </si>
  <si>
    <t>明市盘龙区茨坝</t>
  </si>
  <si>
    <t>山东星工液压科技有限公司</t>
  </si>
  <si>
    <t>星工液压</t>
  </si>
  <si>
    <t>崔玉超</t>
  </si>
  <si>
    <t>制造商</t>
  </si>
  <si>
    <t>91371402MA3RMA7E33</t>
  </si>
  <si>
    <t>压链机</t>
  </si>
  <si>
    <t>德州银行</t>
  </si>
  <si>
    <t>80901080101421015717</t>
  </si>
  <si>
    <t>德州银行股份有限公司向阳支行。</t>
  </si>
  <si>
    <t>山东省德州市德城区黄河涯镇闫屯村北500米北2-2车间</t>
  </si>
  <si>
    <t>序号</t>
  </si>
  <si>
    <t>月份</t>
  </si>
  <si>
    <t>计划单号</t>
  </si>
  <si>
    <t>物料编号</t>
  </si>
  <si>
    <t>物料名称</t>
  </si>
  <si>
    <t>英文描述</t>
  </si>
  <si>
    <t>规格型号/配件号</t>
  </si>
  <si>
    <t>单位</t>
  </si>
  <si>
    <t>数量</t>
  </si>
  <si>
    <t>销售单价</t>
  </si>
  <si>
    <t>销售金额</t>
  </si>
  <si>
    <t>箱号</t>
  </si>
  <si>
    <t>毛重</t>
  </si>
  <si>
    <t>净重</t>
  </si>
  <si>
    <t>尺码</t>
  </si>
  <si>
    <t>体积</t>
  </si>
  <si>
    <t>包装方式</t>
  </si>
  <si>
    <t>2</t>
  </si>
  <si>
    <t>MAZ-NWP-25003</t>
  </si>
  <si>
    <t>MAZ-NWP-25003-2</t>
  </si>
  <si>
    <t>新增备品备件及辅材</t>
  </si>
  <si>
    <t>Newly Added Spare Parts and Auxiliary Materials</t>
  </si>
  <si>
    <t>若干</t>
  </si>
  <si>
    <t>件</t>
  </si>
  <si>
    <t>MAZ</t>
  </si>
  <si>
    <t>半移动式洗矿生产线设备</t>
  </si>
  <si>
    <t>Semi-mobile Ore Washing Production Line Equipment</t>
  </si>
  <si>
    <t>MAZ-NWP-2504</t>
  </si>
  <si>
    <t>南方泵业水泵和控制柜</t>
  </si>
  <si>
    <t>CNP Water Pump / Nanfang Pump</t>
  </si>
  <si>
    <t>MAZ-NWP-25006</t>
  </si>
  <si>
    <t>MAZ-NWP-2505</t>
  </si>
  <si>
    <t>重变套装</t>
  </si>
  <si>
    <t>Chongqing Transformer Set</t>
  </si>
  <si>
    <t>合同号</t>
  </si>
  <si>
    <t>合同名</t>
  </si>
  <si>
    <t>合同类型</t>
  </si>
  <si>
    <t>供应商编码</t>
  </si>
  <si>
    <t>签订日期</t>
  </si>
  <si>
    <t>标的物名称</t>
  </si>
  <si>
    <t>收货地址</t>
  </si>
  <si>
    <t>收货人</t>
  </si>
  <si>
    <t>运输方式</t>
  </si>
  <si>
    <t>交货期限</t>
  </si>
  <si>
    <t>运费承担</t>
  </si>
  <si>
    <t>付款条款</t>
  </si>
  <si>
    <t>验收标准</t>
  </si>
  <si>
    <t>金额</t>
  </si>
  <si>
    <t>BMGG-BTXL-2026-5673-1</t>
  </si>
  <si>
    <t>窑收尘系统物料</t>
  </si>
  <si>
    <t>采购合同</t>
  </si>
  <si>
    <t>太仓港或国内其他主要港口，具体待通知</t>
  </si>
  <si>
    <t>待通知</t>
  </si>
  <si>
    <t>港口集装箱提货</t>
  </si>
  <si>
    <t>货期60天</t>
  </si>
  <si>
    <t>乙方承担运费（乙方向甲方提供运输发票或者单据复印件）</t>
  </si>
  <si>
    <t>1、预付20%备货；
2、发货前且收到13%增值税专用发票付80%余款；
3、付款方式为银行电汇</t>
  </si>
  <si>
    <t>1、甲方仅对乙方所交付产品数量做验收；
2、产品质量、规格及型号按国家产品质量标准执行；
3、质保期：正常使用质保壹年</t>
  </si>
  <si>
    <t>BMGG-MAZ-26104</t>
  </si>
  <si>
    <t>钢板桩采购合同</t>
  </si>
  <si>
    <t>热轧钢板桩</t>
  </si>
  <si>
    <t>乙方推荐</t>
  </si>
  <si>
    <t>甲方通知发货之日起7天内</t>
  </si>
  <si>
    <t>1、合同签订后，甲方需在7个工作日内支付货款总额的20%作为预付款，乙方收到预付款后安排发货。
2、甲方完成货物验收，且第三方检验报告结果符合国家标准要求，同时乙方开具合同全额13%税率的增值税专用发票后，甲方需在7个工作日内支付剩余全部货款。
3、支付方式：银行电汇</t>
  </si>
  <si>
    <t>5.1、打包前通知与到场验货：乙方应在每批次钢板桩打包前至少【5】个工作日以书面方式通知甲方，通知内容包括生产批次、炉批号、规格型号、数量、打包地点、预计打包时间及第三方取样安排。甲方或其委托代表有权前往现场验货。未经甲方书面同意，乙方不得擅自打包。
5.2、见证第三方取样：乙方应配合甲方或其委托的具备CMA/CNAS等资质的第三方检测机构，在打包前按批次、炉批号及GB/T 20933-2021要求进行取样，甲方或其代表现场见证。样品应现场封存、标识并编号，编号须与实物铭牌/钢印、炉批号、质量证明书及检测报告一一对应。检测费用由乙方承担。
5.3、见证打包与编号：取样及验货完成后，乙方应在甲方或其代表见证下进行打包、编号。钢板桩应采用钢带或扁铁捆扎，每捆基准数量为10根，最多不得超过40根；吊点、软质衬垫及锁口、端头防护应按招标文件技术规格书执行。每捆/每根应设置唯一、清晰、牢固的编号，并与质量证明书、检测报告、发货清单一致。乙方应对打包、编号及防护情况留存影像资料。
5.4、出厂检验内容：甲方验货包括但不限于：规格型号PU400×125×13（SP-III型）、材质Q355P、单根长度9m、数量330根、理论重量、化学成分、力学性能、锁口尺寸及公差、表面质量，以及质量证明文件与实物铭牌/钢印的批号、牌号、规格一致性。质量证明书应按每批或每达60吨单独出具。
5.5、到港验收：货物运抵港口后，甲方或其委托收货方进行入场检验，包括重量偏差、几何尺寸、外观（含锁口及桩身）、质量证明文件真伪及证货一致性；几何尺寸抽检比例不得低于该批次到货数量的5%，并对锁口进行逐根检查。甲方有权过磅复核并委托第三方检验。未经入场检验或检验不合格的，甲方有权拒绝收货，不予办理验收、入库及结算。
5.6、不合格处理：因装卸、运输防护不当导致锁口变形、桩身损伤，影响正常咬合使用的，甲方有权拒收。乙方应承担检测费、退换货运费、在港滞留费及工期延误损失等全部费用，并按不合格部分对应合同价款的10%向甲方支付违约金。累计两次供货不合格或拒不配合处理的，甲方有权解除合同、列入供应黑名单并追索损失。
5.7、验收合格与质保：验收合格后，双方签署验收单，作为结算及付款依据之一。质量保证期自港口验收合格之日起6个月。质保期内因材料本身质量问题导致无法使用的，乙方负责免费更换；乙方应在接到甲方质量异议通知后24小时内响应，并协商派员到场处理。</t>
  </si>
  <si>
    <t>BMGG-MAZ-26107</t>
  </si>
  <si>
    <t>维修五金工具采购合同</t>
  </si>
  <si>
    <t>维修五金工具</t>
  </si>
  <si>
    <t>上海港或国内其他主要港口，具体待通知</t>
  </si>
  <si>
    <t>自本合同签订之日起7天内</t>
  </si>
  <si>
    <t>1、先货后款，收到货物和全额13%增值税专用发票后7个工作日支付全款。
2、支付方式：银行电汇</t>
  </si>
  <si>
    <t>甲方仅对乙方所交付产品数量做验收，产品质量需达到原厂件同等质量水平，质量按相关国家行业质量标准执行(注明的除外)，并提供相关证书。合同一经签订，若非因错件或产品质量问题，甲方不得随意退货。</t>
  </si>
  <si>
    <t>BMGG-MAZ-26106</t>
  </si>
  <si>
    <t>BMGG-MAZ-26105</t>
  </si>
  <si>
    <t>冶金级配件采购合同</t>
  </si>
  <si>
    <t>冶金级配件</t>
  </si>
  <si>
    <t>BMGG-MAZ-26108</t>
  </si>
  <si>
    <t>海信变频驻车空调采购合同</t>
  </si>
  <si>
    <t>海信变频驻车空调</t>
  </si>
  <si>
    <t>自本合同签订之日起15天内</t>
  </si>
  <si>
    <t>1、第一次付款(预付款):双方签订合同盖章后，甲方支付合同总金额的10%作为预付款，乙方备货;
2、第二次付款:甲方在国内指定地点收到货且甲方收到乙方开具的13%全额增值税专用发票后，甲方支付合同总金额的90%货款;
3、支付方式为银行转账方式。</t>
  </si>
  <si>
    <t>甲方仅对乙方所交付产品数量做验收，产品质量、规格及型号按国家产品质量标准
执行。</t>
  </si>
  <si>
    <t>BMGG-MAZ-NWP-25003</t>
  </si>
  <si>
    <t>半移动式洗矿生产线设备合同</t>
  </si>
  <si>
    <t>设备采购合同</t>
  </si>
  <si>
    <t>圭亚那合作共和国奥马矿区（Omai Mine Site, Guyana）</t>
  </si>
  <si>
    <t>博赛集团（圭亚那）有限公司指定现场接收人</t>
  </si>
  <si>
    <t>海运+陆运（CIF乔治敦港，乙方负责至目的港；港后至矿区由甲方安排，乙方提供技术指导）</t>
  </si>
  <si>
    <t>合同签订后90天内完成全部设备发运（即2026年4月10日前）</t>
  </si>
  <si>
    <t>乙方承担至CIF乔治敦港的海运费及保险费；港后至矿区陆运费由甲方承担</t>
  </si>
  <si>
    <t>1. 预付款：合同签订后15日内支付合同总价30%；
2. 发货款：乙方提供全套发运单据后15日内支付40%；
3. 到货款：货物抵达乔治敦港并经甲方初步核验后15日内支付20%；
4. 质保金：剩余10%作为质保金，质保期（12个月）满且无质量问题后30日内无息支付。</t>
  </si>
  <si>
    <t>1. 出厂前检验：乙方提供出厂合格证及检测报告，甲方可派员监造；
2. 到货验收：依据装箱单及技术协议核对数量、外观及规格；
3. 安装调试验收：设备安装调试完成后72小时连续试运行合格，双方签署最终验收证书；
4. 质量标准：符合中国国家标准及合同约定的技术参数，满足年产200万吨铝土矿洗选要求。</t>
  </si>
  <si>
    <t>BMGG-MAZ-NWP-25003-补01</t>
  </si>
  <si>
    <t>半移动式洗矿生产线采购合同-补充协议（一）</t>
  </si>
  <si>
    <t>补充协议</t>
  </si>
  <si>
    <t>同主合同（CIF乔治敦港）</t>
  </si>
  <si>
    <t>补充协议签订后30天内完成新增货物发运（即2026年9月7日前）</t>
  </si>
  <si>
    <t>新增货物价款并入主合同结算，付款节点与主合同保持一致；已支付的预付款按比例抵扣新增款项。</t>
  </si>
  <si>
    <t>新增备品备件及辅材按主合同验收标准执行，随主设备一并验收或单独到货验收，以先到者为准。</t>
  </si>
  <si>
    <t>BMGG-MAZ-NWP-25004</t>
  </si>
  <si>
    <t>水泵购销合同</t>
  </si>
  <si>
    <t>水泵及配套设备</t>
  </si>
  <si>
    <t>甲方指定地点</t>
  </si>
  <si>
    <t>甲方现场负责人</t>
  </si>
  <si>
    <t>汽车运输</t>
  </si>
  <si>
    <t>合同签订后30个日历日内完成全部货物交付</t>
  </si>
  <si>
    <t>乙方承担（含装卸费、保险费及运至指定收货地点的所有费用）</t>
  </si>
  <si>
    <t>1. 预付款：合同签订后7个工作日内支付合同总价30%；
2. 到货款：货物到场验收合格后支付60%；
3. 质保金：剩余10%作为质保金，质保期满且无质量问题后30日内无息付清。</t>
  </si>
  <si>
    <t>1. 符合国家现行相关技术标准及行业规范； 
2. 符合合同约定的技术参数及性能指标； 
3. 提供完整的产品合格证、出厂检验报告及技术资料； 
4. 现场安装调试运行正常，经双方签字确认视为验收合格。</t>
  </si>
  <si>
    <t>BMGG-MAZ-NWP-25006</t>
  </si>
  <si>
    <t>变电站采购合同</t>
  </si>
  <si>
    <t>变电站成套设备及配套材料</t>
  </si>
  <si>
    <t>甲方项目现场指定地点</t>
  </si>
  <si>
    <t>甲方授权现场代表</t>
  </si>
  <si>
    <t>合同签订后45个日历日内完成全部货物交付至指定地点</t>
  </si>
  <si>
    <t>乙方承担（含包装费、装卸费、运输保险费及运抵收货地点的所有费用）</t>
  </si>
  <si>
    <t>1. 预付款：合同生效后10个工作日内支付合同总价30%；
2. 到货款：货物到场开箱验收合格后30日内支付60%；
3. 质保金：剩余10%作为质量保证金，质保期满且无未解决质量问题后30日内无息付清。</t>
  </si>
  <si>
    <t>1. 符合国家现行电力设备技术标准及行业规范；
2. 符合合同约定的技术参数、图纸及性能指标；
3. 提供完整的产品合格证、出厂试验报告、型式试验报告及技术资料；
4. 现场安装调试完成，经72小时试运行合格，双方签署验收确认单视为最终验收通过。</t>
  </si>
  <si>
    <t>BMGG-MAZ-26110</t>
  </si>
  <si>
    <t>电焊机ZX7-500HA采购合同</t>
  </si>
  <si>
    <t>电焊机ZX7-500HA采购</t>
  </si>
  <si>
    <t>BMGG-MAZ-26111</t>
  </si>
  <si>
    <t>履带压链机采购合同</t>
  </si>
  <si>
    <t>履带压链机采购</t>
  </si>
  <si>
    <t>1、付款方式为先款后货：合同签订后7个工作日内支付全款，卖家收到全额货款后3个工作日内开具全额13%增值税专用发票，卖方收到全部货款后15日内发货。
2、支付渠道：银行电汇</t>
  </si>
  <si>
    <t>1、甲方仅对乙方所交付产品数量做验收；
2、产品质量、规格及型号按国家产品质量标准执行；
3、质保期：自交付验收合格之日起12个月。</t>
  </si>
  <si>
    <t>编号</t>
  </si>
  <si>
    <t>公司名称</t>
  </si>
  <si>
    <t>账号</t>
  </si>
  <si>
    <t>中文名称</t>
  </si>
  <si>
    <t>英文名称</t>
  </si>
  <si>
    <t>规格型号</t>
  </si>
  <si>
    <t>采购数量</t>
  </si>
  <si>
    <t>使用设备</t>
  </si>
  <si>
    <t>使用部门</t>
  </si>
  <si>
    <t>库存数量</t>
  </si>
  <si>
    <t>在途数量</t>
  </si>
  <si>
    <t>4个月消耗量</t>
  </si>
  <si>
    <t>A2</t>
  </si>
  <si>
    <t>规格</t>
  </si>
  <si>
    <t>分类编码</t>
  </si>
  <si>
    <t>含税单价</t>
  </si>
  <si>
    <t>订单编号</t>
  </si>
  <si>
    <t>源合同编号</t>
  </si>
  <si>
    <t>单据日期</t>
  </si>
  <si>
    <t>单据编号</t>
  </si>
  <si>
    <t>发票号码</t>
  </si>
  <si>
    <t>发票日期</t>
  </si>
  <si>
    <t>发票类型</t>
  </si>
  <si>
    <t>客商编码</t>
  </si>
  <si>
    <t>合同编号</t>
  </si>
  <si>
    <t>不含税金额</t>
  </si>
  <si>
    <t>税额</t>
  </si>
  <si>
    <t>价税合计</t>
  </si>
  <si>
    <t>税率</t>
  </si>
  <si>
    <t>JX-20261014-003</t>
  </si>
  <si>
    <t>26532000001348857091-2</t>
  </si>
  <si>
    <t>2026-08-11</t>
  </si>
  <si>
    <t>增值税专用发票</t>
  </si>
  <si>
    <t>26532000001347729586</t>
  </si>
  <si>
    <t>JX-20261014-004</t>
  </si>
  <si>
    <t>26532000001348281976</t>
  </si>
  <si>
    <t>JX-20261014-005</t>
  </si>
  <si>
    <t>26532000001348713616</t>
  </si>
  <si>
    <t>阶段序号</t>
  </si>
  <si>
    <t>阶段名称</t>
  </si>
  <si>
    <t>账户</t>
  </si>
  <si>
    <t>h</t>
  </si>
  <si>
    <t>入仓单号</t>
  </si>
  <si>
    <t>入仓日期</t>
  </si>
  <si>
    <t>箱单号</t>
  </si>
  <si>
    <t>物料大类</t>
  </si>
  <si>
    <t>产地</t>
  </si>
  <si>
    <t>集装箱号</t>
  </si>
  <si>
    <t>提单号</t>
  </si>
  <si>
    <t>船名/航号</t>
  </si>
  <si>
    <t>长</t>
  </si>
  <si>
    <t>宽</t>
  </si>
  <si>
    <t>高</t>
  </si>
  <si>
    <t>PO单号</t>
  </si>
  <si>
    <t>特殊申报</t>
  </si>
  <si>
    <t>包件件数</t>
  </si>
  <si>
    <t>询价名称</t>
  </si>
  <si>
    <t>询价型号</t>
  </si>
  <si>
    <t>询价数量</t>
  </si>
  <si>
    <t>出发港</t>
  </si>
  <si>
    <t>目的港</t>
  </si>
  <si>
    <t>HS Code</t>
  </si>
  <si>
    <t>申报要素</t>
  </si>
  <si>
    <t>主表</t>
  </si>
  <si>
    <t>合同名称</t>
  </si>
  <si>
    <t>标的名称</t>
  </si>
  <si>
    <t>项目编号</t>
  </si>
  <si>
    <t>合同状态</t>
  </si>
  <si>
    <t>计价方式</t>
  </si>
  <si>
    <t>开始日期</t>
  </si>
  <si>
    <t>结束日期</t>
  </si>
  <si>
    <t>附件说明</t>
  </si>
  <si>
    <t>内容概述</t>
  </si>
  <si>
    <t>卖家推荐</t>
  </si>
  <si>
    <t>卖方承担运费（卖方向买方提供运输发票或者单据复印件）</t>
  </si>
  <si>
    <t>1、付款方式为先款后货：合同签订后7个工作日内支付全款，卖家收到货款后3个工作日内开具全额正规发票，卖家于15天内发货。
2、支付渠道：银行电汇</t>
  </si>
  <si>
    <t>1、买方仅对卖方所交付产品数量做验收；
2、产品质量、规格及型号按国家产品质量标准执行；
3、质保期：正常使用质保壹年</t>
  </si>
  <si>
    <t>物料明细</t>
  </si>
  <si>
    <t>202608-MAZ 202608-6-272-1</t>
  </si>
  <si>
    <t>履带压链机</t>
  </si>
  <si>
    <t>TRACK LINK PRESS</t>
  </si>
  <si>
    <t>250吨压链机，配套220伏电动泵+手动泵</t>
  </si>
  <si>
    <t>台</t>
  </si>
  <si>
    <t>阶段付款</t>
  </si>
  <si>
    <t>比例</t>
  </si>
  <si>
    <t>计划金额</t>
  </si>
  <si>
    <t>计划日期</t>
  </si>
  <si>
    <t>到货阶段</t>
  </si>
  <si>
    <t>到货款</t>
  </si>
  <si>
    <t>预付款</t>
  </si>
  <si>
    <t>质保金</t>
  </si>
  <si>
    <t>客户编码</t>
  </si>
  <si>
    <t>条款</t>
  </si>
  <si>
    <t>发货阶段</t>
  </si>
  <si>
    <t>先点「使用说明」里的「从入库载入」。灰色列是入库已经有的对照数据，不会回写。白色和蓝色列里，哪一列有值就导入哪一列，空单元格不覆盖原值。物料编号是唯一主键。</t>
  </si>
  <si>
    <t>尺寸</t>
  </si>
  <si>
    <t>202607-PL-MAZ-2026-01-3</t>
  </si>
  <si>
    <t>内蒙古包头</t>
  </si>
  <si>
    <t>BOX-01</t>
  </si>
  <si>
    <t>30*30*30</t>
  </si>
  <si>
    <t>SHANGHAI,CHINA</t>
  </si>
  <si>
    <t>jizhuangxiang01</t>
  </si>
  <si>
    <t>BL002</t>
  </si>
  <si>
    <t>SALINA/627E</t>
  </si>
  <si>
    <t>XIANGDANHAO</t>
  </si>
  <si>
    <t>对开法兰</t>
  </si>
  <si>
    <t>BGMM-SH-152</t>
  </si>
  <si>
    <t>202607-PL-MAZ-2026-01-2</t>
  </si>
  <si>
    <t>31*31*31</t>
  </si>
  <si>
    <t>202607-PL-MAZ-2026-01-1</t>
  </si>
  <si>
    <t>32*32*32</t>
  </si>
  <si>
    <t>202607-PL-MAZ-2026-01-5</t>
  </si>
  <si>
    <t>33*33*33</t>
  </si>
  <si>
    <t>非公路用自卸车零配件</t>
  </si>
  <si>
    <t>202607-PL-MAZ-2026-01-9</t>
  </si>
  <si>
    <t>BOX-02</t>
  </si>
  <si>
    <t>34*34*34</t>
  </si>
  <si>
    <t>BGMM-SH-158</t>
  </si>
  <si>
    <t>202607-PL-MAZ-2026-01-8</t>
  </si>
  <si>
    <t>35*35*35</t>
  </si>
  <si>
    <t>202607-PL-MAZ-2026-01-7</t>
  </si>
  <si>
    <t>36*36*36</t>
  </si>
  <si>
    <t>202607-PL-MAZ-2026-01-4</t>
  </si>
  <si>
    <t>37*37*37</t>
  </si>
  <si>
    <t>jizhuangxiang02</t>
  </si>
  <si>
    <t>202607-PL-MAZ-2026-01-6</t>
  </si>
  <si>
    <t>38*38*38</t>
  </si>
  <si>
    <t>202607-PL-MAZ-2026-01-20</t>
  </si>
  <si>
    <t>BOX-03</t>
  </si>
  <si>
    <t>39*39*39</t>
  </si>
  <si>
    <t>BGMM-SH-168</t>
  </si>
  <si>
    <t>202607-PL-MAZ-2026-01-19</t>
  </si>
  <si>
    <t>40*40*40</t>
  </si>
  <si>
    <t>202607-PL-MAZ-2026-01-18</t>
  </si>
  <si>
    <t>41*41*41</t>
  </si>
  <si>
    <t>202607-PL-MAZ-2026-01-17</t>
  </si>
  <si>
    <t>42*42*42</t>
  </si>
  <si>
    <t>202607-PL-MAZ-2026-01-16</t>
  </si>
  <si>
    <t>43*43*43</t>
  </si>
  <si>
    <t>202607-PL-MAZ-2026-01-15</t>
  </si>
  <si>
    <t>BOX-04</t>
  </si>
  <si>
    <t>44*44*44</t>
  </si>
  <si>
    <t>BGMM-SH-188</t>
  </si>
  <si>
    <t>202607-PL-MAZ-2026-01-14</t>
  </si>
  <si>
    <t>45*45*45</t>
  </si>
  <si>
    <t>202607-PL-MAZ-2026-01-13</t>
  </si>
  <si>
    <t>46*46*46</t>
  </si>
  <si>
    <t>202607-PL-MAZ-2026-01-12</t>
  </si>
  <si>
    <t>47*47*47</t>
  </si>
  <si>
    <t>项目名称</t>
  </si>
  <si>
    <t>年度</t>
  </si>
  <si>
    <t>项目类型</t>
  </si>
  <si>
    <t>来源</t>
  </si>
  <si>
    <t>客户名称</t>
  </si>
  <si>
    <t>申报名称</t>
  </si>
  <si>
    <t>产品名称</t>
  </si>
  <si>
    <t>申报规格</t>
  </si>
  <si>
    <t>报关要素</t>
  </si>
  <si>
    <t>描述</t>
  </si>
  <si>
    <t>年</t>
  </si>
  <si>
    <t>月</t>
  </si>
  <si>
    <t>币种</t>
  </si>
  <si>
    <t>汇率</t>
  </si>
  <si>
    <t>生效日期</t>
  </si>
  <si>
    <t>美元</t>
  </si>
  <si>
    <t>时间</t>
  </si>
  <si>
    <t>工作表</t>
  </si>
  <si>
    <t>结果</t>
  </si>
  <si>
    <t>说明</t>
  </si>
  <si>
    <t>使用说明</t>
  </si>
  <si>
    <t>失败</t>
  </si>
  <si>
    <t>请先填写服务器、用户名和密码。</t>
  </si>
  <si>
    <t>找不到公司：星河科技</t>
  </si>
  <si>
    <t>成功</t>
  </si>
  <si>
    <t>登录成功</t>
  </si>
  <si>
    <t>请先点开要导入的工作表，或使用「按顺序导入全部」。</t>
  </si>
  <si>
    <t>报关物料清单</t>
  </si>
  <si>
    <t>请先在「使用说明」登录。</t>
  </si>
  <si>
    <t>全部</t>
  </si>
  <si>
    <t>公司管理</t>
  </si>
  <si>
    <t>跳过</t>
  </si>
  <si>
    <t>没有数据行</t>
  </si>
  <si>
    <t>资金账户</t>
  </si>
  <si>
    <t>客商</t>
  </si>
  <si>
    <t>项目</t>
  </si>
  <si>
    <t>HSCode库</t>
  </si>
  <si>
    <t>汇率库</t>
  </si>
  <si>
    <t>商品</t>
  </si>
  <si>
    <t>采购计划</t>
  </si>
  <si>
    <t>86ï¼JSON decode error</t>
  </si>
  <si>
    <t>导入 1 份合同</t>
  </si>
  <si>
    <t>导入 18 行</t>
  </si>
  <si>
    <t>系统错误：invalid literal for int() with base 10: '2026.'</t>
  </si>
  <si>
    <t>要求对象</t>
  </si>
  <si>
    <t>存在错误数据，全部校验通过后才能导入。 第2行 未找到该入仓单下的物料编号；第3行 未找到该入仓单下的物料编号；第4行 未找到该入仓单下的物料编号；第5行 未找到该入仓单下的物料编号；第6行 未找到该入仓单下的物料编号；第7行 未找到该入仓单下的物料编号；第8行 未找到该入仓单下的物料编号；第9行 未找到该入仓单下的物料编号</t>
  </si>
  <si>
    <t>导入 1 条</t>
  </si>
  <si>
    <t>导入 439 行</t>
  </si>
  <si>
    <t>采购合同 找不到「阶段付款」。</t>
  </si>
  <si>
    <t>客商已停用</t>
  </si>
  <si>
    <t>物料 202606-6-202606-10 超出 1</t>
  </si>
  <si>
    <t>BMI-GMI-2026069 至少要有一行付款阶段。</t>
  </si>
  <si>
    <t>导入 6 条</t>
  </si>
  <si>
    <t>采购计划 的「A2」不在表单字段库中，不能新增未知字段。可以删掉不需要的列。</t>
  </si>
  <si>
    <t>采购计划 的「序号」不在表单字段库中，不能新增未知字段。可以删掉不需要的列。</t>
  </si>
  <si>
    <t>采购计划 的「月份」不在表单字段库中，不能新增未知字段。可以删掉不需要的列。</t>
  </si>
  <si>
    <t>采购计划 的「计划单号」不在表单字段库中，不能新增未知字段。可以删掉不需要的列。</t>
  </si>
  <si>
    <t>导入 1 行</t>
  </si>
  <si>
    <t>导入 81 行</t>
  </si>
  <si>
    <t>导入 6 行</t>
  </si>
  <si>
    <t>采购HT</t>
  </si>
  <si>
    <t>这张表没有对应的导入接口：采购HT</t>
  </si>
  <si>
    <t>BMI-GMI-2026011 至少要有一行付款阶段。</t>
  </si>
  <si>
    <t>BMGG-MAZ-26104 找不到对应客商，请先导入客商。</t>
  </si>
  <si>
    <t>计划</t>
  </si>
  <si>
    <t>这张表没有对应的导入接口：计划</t>
  </si>
  <si>
    <t>导入 20 行</t>
  </si>
  <si>
    <t>客商第 3 行缺少编码、名称或客商类型。</t>
  </si>
  <si>
    <t>导入 2 条</t>
  </si>
  <si>
    <t>物料 MAZ-NWP-25003 没有采购计划</t>
  </si>
  <si>
    <t>阶段计划金额合计与合同金额相差 175000.00</t>
  </si>
  <si>
    <t>进项发票</t>
  </si>
  <si>
    <t>物料 MAZ-NWP-25003-2 超出 1</t>
  </si>
  <si>
    <t>阶段计划金额合计与合同金额相差 15925000.00</t>
  </si>
  <si>
    <t>阶段计划金额合计与合同金额相差 15750000.00</t>
  </si>
  <si>
    <t>数值不正确：ROUND(I2/1.13,2)</t>
  </si>
  <si>
    <t>物料 MAZ-NWP-2504 超出 10</t>
  </si>
  <si>
    <t>物料 MAZ-NWP-2504 超出 1</t>
  </si>
  <si>
    <t>日期格式不正确：46325</t>
  </si>
  <si>
    <t>表</t>
  </si>
  <si>
    <t>分段</t>
  </si>
  <si>
    <t>字段</t>
  </si>
  <si>
    <t>键</t>
  </si>
  <si>
    <t>必填</t>
  </si>
  <si>
    <t>标记</t>
  </si>
  <si>
    <t>别名</t>
  </si>
  <si>
    <t>明细</t>
  </si>
  <si>
    <t>type</t>
  </si>
  <si>
    <t>是</t>
  </si>
  <si>
    <t>类型</t>
  </si>
  <si>
    <t>code</t>
  </si>
  <si>
    <t>供应商编码|客户编码</t>
  </si>
  <si>
    <t>name</t>
  </si>
  <si>
    <t>供应商名称|客户名称</t>
  </si>
  <si>
    <t>short_name</t>
  </si>
  <si>
    <t>否</t>
  </si>
  <si>
    <t>供应商简称|客户简称</t>
  </si>
  <si>
    <t>contact_name</t>
  </si>
  <si>
    <t>contact_phone</t>
  </si>
  <si>
    <t>mobile</t>
  </si>
  <si>
    <t>email</t>
  </si>
  <si>
    <t>salesman_id</t>
  </si>
  <si>
    <t>supplier_category</t>
  </si>
  <si>
    <t>tax_no</t>
  </si>
  <si>
    <t>税号</t>
  </si>
  <si>
    <t>default_tax_rate</t>
  </si>
  <si>
    <t>invoice_title</t>
  </si>
  <si>
    <t>bank_name</t>
  </si>
  <si>
    <t>account_name</t>
  </si>
  <si>
    <t>bank_account</t>
  </si>
  <si>
    <t>bank_branch</t>
  </si>
  <si>
    <t>invoice_phone</t>
  </si>
  <si>
    <t>invoice_address</t>
  </si>
  <si>
    <t>address</t>
  </si>
  <si>
    <t>地址</t>
  </si>
  <si>
    <t>legal_name</t>
  </si>
  <si>
    <t>agent_name</t>
  </si>
  <si>
    <t>status</t>
  </si>
  <si>
    <t>remark</t>
  </si>
  <si>
    <t>project_code</t>
  </si>
  <si>
    <t>year</t>
  </si>
  <si>
    <t>project_type</t>
  </si>
  <si>
    <t>source</t>
  </si>
  <si>
    <t>customer_name</t>
  </si>
  <si>
    <t>start_date</t>
  </si>
  <si>
    <t>end_date</t>
  </si>
  <si>
    <t>contract_code</t>
  </si>
  <si>
    <t>type_name</t>
  </si>
  <si>
    <t>party_name</t>
  </si>
  <si>
    <t>或</t>
  </si>
  <si>
    <t>供应商名称|对方名称</t>
  </si>
  <si>
    <t>party_code</t>
  </si>
  <si>
    <t>对方编码</t>
  </si>
  <si>
    <t>owner_id</t>
  </si>
  <si>
    <t>业务员员工编号</t>
  </si>
  <si>
    <t>pricing</t>
  </si>
  <si>
    <t>tax_rate</t>
  </si>
  <si>
    <t>sign_date</t>
  </si>
  <si>
    <t>subject_name</t>
  </si>
  <si>
    <t>ship_address</t>
  </si>
  <si>
    <t>receiver_name</t>
  </si>
  <si>
    <t>transport_mode</t>
  </si>
  <si>
    <t>delivery_term</t>
  </si>
  <si>
    <t>freight_bearer</t>
  </si>
  <si>
    <t>terms</t>
  </si>
  <si>
    <t>acceptance_text</t>
  </si>
  <si>
    <t>annex_note</t>
  </si>
  <si>
    <t>content</t>
  </si>
  <si>
    <t>对应合同编号</t>
  </si>
  <si>
    <t>material_code</t>
  </si>
  <si>
    <t>name_cn</t>
  </si>
  <si>
    <t>name_en</t>
  </si>
  <si>
    <t>spec</t>
  </si>
  <si>
    <t>unit</t>
  </si>
  <si>
    <t>qty</t>
  </si>
  <si>
    <t>price</t>
  </si>
  <si>
    <t>明细备注</t>
  </si>
  <si>
    <t>plan_no</t>
  </si>
  <si>
    <t>category</t>
  </si>
  <si>
    <t>ratio</t>
  </si>
  <si>
    <t>plan_amount</t>
  </si>
  <si>
    <t>plan_date</t>
  </si>
  <si>
    <t>阶段备注</t>
  </si>
  <si>
    <t>arrival_flag</t>
  </si>
  <si>
    <t>销售合同</t>
  </si>
  <si>
    <t>客户名称|对方名称</t>
  </si>
  <si>
    <t>ship_flag</t>
  </si>
  <si>
    <t>入库单号</t>
  </si>
  <si>
    <t>receipt_no</t>
  </si>
  <si>
    <t>material_name</t>
  </si>
  <si>
    <t>只读</t>
  </si>
  <si>
    <t>material_name_en</t>
  </si>
  <si>
    <t>specification</t>
  </si>
  <si>
    <t>quantity</t>
  </si>
  <si>
    <t>contract_no</t>
  </si>
  <si>
    <t>supplier_name</t>
  </si>
  <si>
    <t>receipt_date</t>
  </si>
  <si>
    <t>origin_country</t>
  </si>
  <si>
    <t>box_no</t>
  </si>
  <si>
    <t>size</t>
  </si>
  <si>
    <t>length</t>
  </si>
  <si>
    <t>width</t>
  </si>
  <si>
    <t>height</t>
  </si>
  <si>
    <t>net_weight</t>
  </si>
  <si>
    <t>gross_weight</t>
  </si>
  <si>
    <t>volume</t>
  </si>
  <si>
    <t>port_of_shipment</t>
  </si>
  <si>
    <t>出发港口</t>
  </si>
  <si>
    <t>port_of_destination</t>
  </si>
  <si>
    <t>container_no</t>
  </si>
  <si>
    <t>bill_no</t>
  </si>
  <si>
    <t>vessel_voyage</t>
  </si>
  <si>
    <t>packing_list_no</t>
  </si>
  <si>
    <t>material_category</t>
  </si>
  <si>
    <t>equipment</t>
  </si>
  <si>
    <t>hs_code</t>
  </si>
  <si>
    <t>HSCODE</t>
  </si>
  <si>
    <t>consignee</t>
  </si>
  <si>
    <t>package_count</t>
  </si>
  <si>
    <t>payment_terms</t>
  </si>
  <si>
    <t>declaration_elements</t>
  </si>
  <si>
    <t>month</t>
  </si>
  <si>
    <t>currency</t>
  </si>
  <si>
    <t>rate</t>
  </si>
  <si>
    <t>effective_date</t>
  </si>
  <si>
    <t>公司编号</t>
  </si>
  <si>
    <t>account_no</t>
  </si>
  <si>
    <t>计划月份</t>
  </si>
  <si>
    <t>采购序号</t>
  </si>
  <si>
    <t>物料编码|物料代码</t>
  </si>
  <si>
    <t>采购计划单号</t>
  </si>
  <si>
    <t>类别</t>
  </si>
  <si>
    <t>用途</t>
  </si>
  <si>
    <t>采购订单</t>
  </si>
  <si>
    <t>销售订单</t>
  </si>
  <si>
    <t>销项发票</t>
  </si>
  <si>
    <t>付款单</t>
  </si>
  <si>
    <t>收款单</t>
  </si>
  <si>
    <t>入仓单</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</si>
</sst>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m\-dd\ h:mm:ss"/>
    <numFmt numFmtId="177" formatCode="yyyy/m/d;@"/>
    <numFmt numFmtId="178" formatCode="&quot;￥&quot;#,##0.00_);[Red]\(&quot;￥&quot;#,##0.00\)"/>
  </numFmts>
  <fonts count="54">
    <font>
      <sz val="11"/>
      <color theme="1"/>
      <name val="宋体"/>
      <charset val="134"/>
      <scheme val="minor"/>
    </font>
    <font>
      <b/>
      <sz val="11"/>
      <color rgb="FF1F4E79"/>
      <name val="宋体"/>
      <charset val="134"/>
    </font>
    <font>
      <b/>
      <sz val="11"/>
      <color rgb="FF9C2F2F"/>
      <name val="宋体"/>
      <charset val="134"/>
    </font>
    <font>
      <b/>
      <sz val="14"/>
      <color rgb="FFFFFFFF"/>
      <name val="宋体"/>
      <charset val="134"/>
    </font>
    <font>
      <b/>
      <sz val="11"/>
      <color rgb="FF666666"/>
      <name val="宋体"/>
      <charset val="134"/>
    </font>
    <font>
      <sz val="10"/>
      <name val="Microsoft YaHei"/>
      <charset val="134"/>
    </font>
    <font>
      <sz val="11"/>
      <name val="等线"/>
      <charset val="134"/>
    </font>
    <font>
      <sz val="14"/>
      <color theme="1"/>
      <name val="宋体"/>
      <charset val="134"/>
      <scheme val="minor"/>
    </font>
    <font>
      <sz val="11"/>
      <color indexed="8"/>
      <name val="宋体"/>
      <charset val="1"/>
      <scheme val="minor"/>
    </font>
    <font>
      <b/>
      <sz val="48"/>
      <color rgb="FFFF0000"/>
      <name val="宋体"/>
      <charset val="134"/>
    </font>
    <font>
      <b/>
      <sz val="14"/>
      <color rgb="FFFF0000"/>
      <name val="宋体"/>
      <charset val="134"/>
    </font>
    <font>
      <sz val="9.75"/>
      <color rgb="FF1F2329"/>
      <name val="Segoe UI"/>
      <charset val="134"/>
    </font>
    <font>
      <sz val="10"/>
      <name val="SimSun"/>
      <charset val="134"/>
    </font>
    <font>
      <b/>
      <sz val="14"/>
      <color rgb="FFFFFFFF"/>
      <name val="宋体"/>
      <charset val="134"/>
      <scheme val="minor"/>
    </font>
    <font>
      <b/>
      <sz val="11"/>
      <color rgb="FF1F4E79"/>
      <name val="宋体"/>
      <charset val="134"/>
      <scheme val="minor"/>
    </font>
    <font>
      <b/>
      <sz val="11"/>
      <color rgb="FF9C2F2F"/>
      <name val="宋体"/>
      <charset val="134"/>
      <scheme val="minor"/>
    </font>
    <font>
      <sz val="9"/>
      <color rgb="FF86909C"/>
      <name val="Segoe UI"/>
      <charset val="134"/>
    </font>
    <font>
      <sz val="10"/>
      <color rgb="FFFF0000"/>
      <name val="SimSun"/>
      <charset val="134"/>
    </font>
    <font>
      <sz val="11"/>
      <color rgb="FF192338"/>
      <name val="宋体"/>
      <charset val="134"/>
      <scheme val="minor"/>
    </font>
    <font>
      <b/>
      <sz val="10"/>
      <name val="仿宋_GB2312"/>
      <charset val="134"/>
    </font>
    <font>
      <b/>
      <sz val="22"/>
      <color theme="1"/>
      <name val="宋体"/>
      <charset val="134"/>
      <scheme val="minor"/>
    </font>
    <font>
      <sz val="10.5"/>
      <color rgb="FF0D0D0D"/>
      <name val="Segoe UI"/>
      <charset val="134"/>
    </font>
    <font>
      <sz val="11"/>
      <name val="Microsoft YaHei"/>
      <charset val="134"/>
    </font>
    <font>
      <sz val="11.25"/>
      <color rgb="FF0F1115"/>
      <name val="Segoe UI"/>
      <charset val="134"/>
    </font>
    <font>
      <sz val="11.5"/>
      <color rgb="FF0F1115"/>
      <name val="宋体"/>
      <charset val="134"/>
    </font>
    <font>
      <sz val="14"/>
      <color rgb="FF4E5969"/>
      <name val="宋体"/>
      <charset val="134"/>
    </font>
    <font>
      <sz val="14"/>
      <color rgb="FF303133"/>
      <name val="宋体"/>
      <charset val="134"/>
    </font>
    <font>
      <sz val="14"/>
      <color rgb="FF303133"/>
      <name val="Segoe UI"/>
      <charset val="134"/>
    </font>
    <font>
      <sz val="14"/>
      <color theme="1"/>
      <name val="宋体"/>
      <charset val="134"/>
    </font>
    <font>
      <b/>
      <sz val="10"/>
      <color indexed="8"/>
      <name val="微软雅黑"/>
      <charset val="134"/>
    </font>
    <font>
      <sz val="10"/>
      <color theme="1"/>
      <name val="仿宋_GB2312"/>
      <charset val="134"/>
    </font>
    <font>
      <b/>
      <sz val="8.25"/>
      <color rgb="FF333333"/>
      <name val="宋体"/>
      <charset val="134"/>
    </font>
    <font>
      <b/>
      <sz val="18"/>
      <color rgb="FF1F4E79"/>
      <name val="宋体"/>
      <charset val="134"/>
    </font>
    <font>
      <u/>
      <sz val="11"/>
      <color rgb="FF0000FF"/>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2"/>
      <name val="宋体"/>
      <charset val="134"/>
    </font>
    <font>
      <sz val="10"/>
      <name val="宋体"/>
      <charset val="134"/>
    </font>
  </fonts>
  <fills count="40">
    <fill>
      <patternFill patternType="none"/>
    </fill>
    <fill>
      <patternFill patternType="gray125"/>
    </fill>
    <fill>
      <patternFill patternType="solid">
        <fgColor rgb="FFD6E3F0"/>
        <bgColor indexed="64"/>
      </patternFill>
    </fill>
    <fill>
      <patternFill patternType="solid">
        <fgColor rgb="FFFDE9E9"/>
        <bgColor indexed="64"/>
      </patternFill>
    </fill>
    <fill>
      <patternFill patternType="solid">
        <fgColor rgb="FF1F4E79"/>
        <bgColor indexed="64"/>
      </patternFill>
    </fill>
    <fill>
      <patternFill patternType="solid">
        <fgColor rgb="FFF2F2F2"/>
        <bgColor indexed="64"/>
      </patternFill>
    </fill>
    <fill>
      <patternFill patternType="solid">
        <fgColor indexed="65"/>
        <bgColor indexed="64"/>
      </patternFill>
    </fill>
    <fill>
      <patternFill patternType="solid">
        <fgColor rgb="FFFFFF00"/>
        <bgColor indexed="64"/>
      </patternFill>
    </fill>
    <fill>
      <patternFill patternType="solid">
        <fgColor theme="0"/>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right/>
      <top style="thin">
        <color rgb="FFF8F8FA"/>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0" fillId="10" borderId="5"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6" applyNumberFormat="0" applyFill="0" applyAlignment="0" applyProtection="0">
      <alignment vertical="center"/>
    </xf>
    <xf numFmtId="0" fontId="39" fillId="0" borderId="6" applyNumberFormat="0" applyFill="0" applyAlignment="0" applyProtection="0">
      <alignment vertical="center"/>
    </xf>
    <xf numFmtId="0" fontId="40" fillId="0" borderId="7" applyNumberFormat="0" applyFill="0" applyAlignment="0" applyProtection="0">
      <alignment vertical="center"/>
    </xf>
    <xf numFmtId="0" fontId="40" fillId="0" borderId="0" applyNumberFormat="0" applyFill="0" applyBorder="0" applyAlignment="0" applyProtection="0">
      <alignment vertical="center"/>
    </xf>
    <xf numFmtId="0" fontId="41" fillId="11" borderId="8" applyNumberFormat="0" applyAlignment="0" applyProtection="0">
      <alignment vertical="center"/>
    </xf>
    <xf numFmtId="0" fontId="42" fillId="5" borderId="9" applyNumberFormat="0" applyAlignment="0" applyProtection="0">
      <alignment vertical="center"/>
    </xf>
    <xf numFmtId="0" fontId="43" fillId="5" borderId="8" applyNumberFormat="0" applyAlignment="0" applyProtection="0">
      <alignment vertical="center"/>
    </xf>
    <xf numFmtId="0" fontId="44" fillId="12" borderId="10" applyNumberFormat="0" applyAlignment="0" applyProtection="0">
      <alignment vertical="center"/>
    </xf>
    <xf numFmtId="0" fontId="45" fillId="0" borderId="11" applyNumberFormat="0" applyFill="0" applyAlignment="0" applyProtection="0">
      <alignment vertical="center"/>
    </xf>
    <xf numFmtId="0" fontId="46" fillId="0" borderId="12" applyNumberFormat="0" applyFill="0" applyAlignment="0" applyProtection="0">
      <alignment vertical="center"/>
    </xf>
    <xf numFmtId="0" fontId="47" fillId="13" borderId="0" applyNumberFormat="0" applyBorder="0" applyAlignment="0" applyProtection="0">
      <alignment vertical="center"/>
    </xf>
    <xf numFmtId="0" fontId="48"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1" fillId="17" borderId="0" applyNumberFormat="0" applyBorder="0" applyAlignment="0" applyProtection="0">
      <alignment vertical="center"/>
    </xf>
    <xf numFmtId="0" fontId="51" fillId="18"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1" fillId="21" borderId="0" applyNumberFormat="0" applyBorder="0" applyAlignment="0" applyProtection="0">
      <alignment vertical="center"/>
    </xf>
    <xf numFmtId="0" fontId="51" fillId="22" borderId="0" applyNumberFormat="0" applyBorder="0" applyAlignment="0" applyProtection="0">
      <alignment vertical="center"/>
    </xf>
    <xf numFmtId="0" fontId="50" fillId="23" borderId="0" applyNumberFormat="0" applyBorder="0" applyAlignment="0" applyProtection="0">
      <alignment vertical="center"/>
    </xf>
    <xf numFmtId="0" fontId="50" fillId="24" borderId="0" applyNumberFormat="0" applyBorder="0" applyAlignment="0" applyProtection="0">
      <alignment vertical="center"/>
    </xf>
    <xf numFmtId="0" fontId="51" fillId="25" borderId="0" applyNumberFormat="0" applyBorder="0" applyAlignment="0" applyProtection="0">
      <alignment vertical="center"/>
    </xf>
    <xf numFmtId="0" fontId="51" fillId="26" borderId="0" applyNumberFormat="0" applyBorder="0" applyAlignment="0" applyProtection="0">
      <alignment vertical="center"/>
    </xf>
    <xf numFmtId="0" fontId="50" fillId="27" borderId="0" applyNumberFormat="0" applyBorder="0" applyAlignment="0" applyProtection="0">
      <alignment vertical="center"/>
    </xf>
    <xf numFmtId="0" fontId="50" fillId="28" borderId="0" applyNumberFormat="0" applyBorder="0" applyAlignment="0" applyProtection="0">
      <alignment vertical="center"/>
    </xf>
    <xf numFmtId="0" fontId="51" fillId="29" borderId="0" applyNumberFormat="0" applyBorder="0" applyAlignment="0" applyProtection="0">
      <alignment vertical="center"/>
    </xf>
    <xf numFmtId="0" fontId="51" fillId="30"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1" fillId="33" borderId="0" applyNumberFormat="0" applyBorder="0" applyAlignment="0" applyProtection="0">
      <alignment vertical="center"/>
    </xf>
    <xf numFmtId="0" fontId="51" fillId="34"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1" fillId="37" borderId="0" applyNumberFormat="0" applyBorder="0" applyAlignment="0" applyProtection="0">
      <alignment vertical="center"/>
    </xf>
    <xf numFmtId="0" fontId="51" fillId="38" borderId="0" applyNumberFormat="0" applyBorder="0" applyAlignment="0" applyProtection="0">
      <alignment vertical="center"/>
    </xf>
    <xf numFmtId="0" fontId="50" fillId="39" borderId="0" applyNumberFormat="0" applyBorder="0" applyAlignment="0" applyProtection="0">
      <alignment vertical="center"/>
    </xf>
    <xf numFmtId="0" fontId="52" fillId="0" borderId="0">
      <alignment vertical="center"/>
    </xf>
  </cellStyleXfs>
  <cellXfs count="71">
    <xf numFmtId="0" fontId="0" fillId="0" borderId="0" xfId="0"/>
    <xf numFmtId="0" fontId="1" fillId="0" borderId="0" xfId="0" applyFont="1"/>
    <xf numFmtId="0" fontId="1" fillId="2" borderId="0" xfId="0" applyFont="1" applyFill="1"/>
    <xf numFmtId="176" fontId="0" fillId="0" borderId="0" xfId="0" applyNumberFormat="1"/>
    <xf numFmtId="22" fontId="0" fillId="0" borderId="0" xfId="0" applyNumberFormat="1"/>
    <xf numFmtId="0" fontId="2" fillId="3" borderId="0" xfId="0" applyFont="1" applyFill="1" applyAlignment="1">
      <alignment vertical="center" wrapText="1"/>
    </xf>
    <xf numFmtId="0" fontId="1" fillId="2" borderId="0" xfId="0" applyFont="1" applyFill="1" applyAlignment="1">
      <alignment vertical="center" wrapText="1"/>
    </xf>
    <xf numFmtId="14" fontId="0" fillId="0" borderId="0" xfId="0" applyNumberFormat="1"/>
    <xf numFmtId="0" fontId="0" fillId="0" borderId="0" xfId="0" applyAlignment="1">
      <alignment horizontal="left" vertical="center" wrapText="1"/>
    </xf>
    <xf numFmtId="0" fontId="0" fillId="0" borderId="0" xfId="0" applyAlignment="1">
      <alignment vertical="center"/>
    </xf>
    <xf numFmtId="0" fontId="3" fillId="4" borderId="0" xfId="0" applyFont="1" applyFill="1"/>
    <xf numFmtId="0" fontId="4" fillId="5" borderId="0" xfId="0" applyFont="1" applyFill="1" applyAlignment="1">
      <alignment vertical="center" wrapText="1"/>
    </xf>
    <xf numFmtId="0" fontId="5" fillId="0" borderId="0" xfId="0" applyFont="1" applyAlignment="1">
      <alignment vertical="center"/>
    </xf>
    <xf numFmtId="0" fontId="6" fillId="0" borderId="1" xfId="49" applyFont="1" applyBorder="1" applyAlignment="1">
      <alignment horizontal="center" vertical="center"/>
    </xf>
    <xf numFmtId="0" fontId="7" fillId="0" borderId="0" xfId="0" applyFont="1" applyAlignment="1">
      <alignment vertical="center" wrapText="1"/>
    </xf>
    <xf numFmtId="0" fontId="8" fillId="0" borderId="0" xfId="0" applyFont="1" applyFill="1" applyAlignment="1">
      <alignment vertical="center"/>
    </xf>
    <xf numFmtId="0" fontId="9" fillId="0" borderId="0" xfId="0" applyFont="1" applyAlignment="1">
      <alignment vertical="center"/>
    </xf>
    <xf numFmtId="0" fontId="10" fillId="0" borderId="0" xfId="0" applyFont="1" applyAlignment="1">
      <alignment vertical="center"/>
    </xf>
    <xf numFmtId="0" fontId="1" fillId="0" borderId="0" xfId="0" applyFont="1" applyAlignment="1">
      <alignment vertical="center" wrapText="1"/>
    </xf>
    <xf numFmtId="0" fontId="7" fillId="0" borderId="0" xfId="0" applyFont="1" applyAlignment="1">
      <alignment horizontal="center" vertical="center" wrapText="1"/>
    </xf>
    <xf numFmtId="0" fontId="0" fillId="0" borderId="0" xfId="0" applyFill="1" applyAlignment="1">
      <alignment vertical="center"/>
    </xf>
    <xf numFmtId="0" fontId="11" fillId="0" borderId="0" xfId="0" applyFont="1"/>
    <xf numFmtId="0" fontId="12" fillId="6" borderId="2" xfId="0" applyFont="1" applyFill="1" applyBorder="1" applyAlignment="1">
      <alignment horizontal="center" vertical="center" wrapText="1"/>
    </xf>
    <xf numFmtId="0" fontId="13" fillId="4" borderId="0" xfId="0" applyFont="1" applyFill="1"/>
    <xf numFmtId="0" fontId="14" fillId="2" borderId="0" xfId="0" applyFont="1" applyFill="1" applyAlignment="1">
      <alignment vertical="center" wrapText="1"/>
    </xf>
    <xf numFmtId="0" fontId="15" fillId="3" borderId="0" xfId="0" applyFont="1" applyFill="1" applyAlignment="1">
      <alignment vertical="center" wrapText="1"/>
    </xf>
    <xf numFmtId="0" fontId="11" fillId="7" borderId="0" xfId="0" applyFont="1" applyFill="1"/>
    <xf numFmtId="0" fontId="0" fillId="7" borderId="0" xfId="0" applyFill="1"/>
    <xf numFmtId="0" fontId="16" fillId="7" borderId="0" xfId="0" applyFont="1" applyFill="1"/>
    <xf numFmtId="0" fontId="7" fillId="7" borderId="0" xfId="0" applyFont="1" applyFill="1" applyAlignment="1">
      <alignment horizontal="center" vertical="center" wrapText="1"/>
    </xf>
    <xf numFmtId="0" fontId="17" fillId="7" borderId="2" xfId="0" applyFont="1" applyFill="1" applyBorder="1" applyAlignment="1">
      <alignment horizontal="center" vertical="center" wrapText="1"/>
    </xf>
    <xf numFmtId="0" fontId="18" fillId="0" borderId="3" xfId="0" applyFont="1" applyFill="1" applyBorder="1" applyAlignment="1">
      <alignment horizontal="left" vertical="center" indent="1"/>
    </xf>
    <xf numFmtId="0" fontId="16" fillId="0" borderId="0" xfId="0" applyFont="1"/>
    <xf numFmtId="4" fontId="18" fillId="0" borderId="3" xfId="0" applyNumberFormat="1" applyFont="1" applyFill="1" applyBorder="1" applyAlignment="1">
      <alignment horizontal="left" vertical="center" indent="1"/>
    </xf>
    <xf numFmtId="0" fontId="17" fillId="6" borderId="2" xfId="0" applyFont="1" applyFill="1" applyBorder="1" applyAlignment="1">
      <alignment horizontal="center" vertical="center" wrapText="1"/>
    </xf>
    <xf numFmtId="0" fontId="0" fillId="0" borderId="0" xfId="0" applyAlignment="1">
      <alignment horizontal="left"/>
    </xf>
    <xf numFmtId="0" fontId="19" fillId="8" borderId="4" xfId="0" applyFont="1" applyFill="1" applyBorder="1" applyAlignment="1">
      <alignment horizontal="center" vertical="center" wrapText="1"/>
    </xf>
    <xf numFmtId="0" fontId="2" fillId="3" borderId="0" xfId="0" applyFont="1" applyFill="1" applyAlignment="1">
      <alignment horizontal="left" vertical="center" wrapText="1"/>
    </xf>
    <xf numFmtId="0" fontId="1" fillId="2" borderId="0" xfId="0" applyFont="1" applyFill="1" applyAlignment="1">
      <alignment horizontal="left" vertical="center" wrapText="1"/>
    </xf>
    <xf numFmtId="0" fontId="20" fillId="0" borderId="0" xfId="0" applyFont="1" applyAlignment="1">
      <alignment horizontal="center" vertical="center"/>
    </xf>
    <xf numFmtId="0" fontId="21" fillId="0" borderId="0" xfId="0" applyFont="1"/>
    <xf numFmtId="49" fontId="0" fillId="0" borderId="0" xfId="0" applyNumberFormat="1" applyFill="1" applyBorder="1" applyAlignment="1">
      <alignment vertical="center"/>
    </xf>
    <xf numFmtId="0" fontId="0" fillId="0" borderId="0" xfId="0" applyFill="1" applyBorder="1" applyAlignment="1">
      <alignment vertical="center"/>
    </xf>
    <xf numFmtId="1" fontId="0" fillId="0" borderId="0" xfId="0" applyNumberFormat="1" applyFill="1" applyBorder="1" applyAlignment="1">
      <alignment vertical="center"/>
    </xf>
    <xf numFmtId="0" fontId="0" fillId="0" borderId="0" xfId="0" applyAlignment="1">
      <alignment horizontal="center" vertical="center"/>
    </xf>
    <xf numFmtId="0" fontId="22" fillId="0" borderId="0" xfId="0" applyFont="1" applyAlignment="1">
      <alignment vertical="center"/>
    </xf>
    <xf numFmtId="49" fontId="0" fillId="0" borderId="0" xfId="0" applyNumberFormat="1"/>
    <xf numFmtId="49" fontId="1" fillId="2" borderId="0" xfId="0" applyNumberFormat="1" applyFont="1" applyFill="1" applyAlignment="1">
      <alignment vertical="center" wrapText="1"/>
    </xf>
    <xf numFmtId="0" fontId="23" fillId="9" borderId="0" xfId="0" applyFont="1" applyFill="1" applyAlignment="1">
      <alignment vertical="center" wrapText="1"/>
    </xf>
    <xf numFmtId="0" fontId="24" fillId="9" borderId="0" xfId="0" applyFont="1" applyFill="1" applyAlignment="1">
      <alignment vertical="center" wrapText="1"/>
    </xf>
    <xf numFmtId="9" fontId="23" fillId="9" borderId="0" xfId="0" applyNumberFormat="1" applyFont="1" applyFill="1" applyAlignment="1">
      <alignment vertical="center" wrapText="1"/>
    </xf>
    <xf numFmtId="49" fontId="22" fillId="0" borderId="0" xfId="0" applyNumberFormat="1" applyFont="1" applyAlignment="1">
      <alignment vertical="center"/>
    </xf>
    <xf numFmtId="0" fontId="25" fillId="0" borderId="0" xfId="0" applyFont="1" applyAlignment="1">
      <alignment horizontal="center" vertical="center" wrapText="1"/>
    </xf>
    <xf numFmtId="0" fontId="26" fillId="0" borderId="0" xfId="0" applyFont="1" applyAlignment="1">
      <alignment horizontal="center" vertical="center" wrapText="1"/>
    </xf>
    <xf numFmtId="0" fontId="27" fillId="0" borderId="0" xfId="0" applyFont="1" applyAlignment="1">
      <alignment horizontal="center" vertical="center" wrapText="1"/>
    </xf>
    <xf numFmtId="14" fontId="7" fillId="0" borderId="0" xfId="0" applyNumberFormat="1" applyFont="1" applyAlignment="1">
      <alignment horizontal="center" vertical="center" wrapText="1"/>
    </xf>
    <xf numFmtId="0" fontId="28" fillId="0" borderId="0" xfId="0" applyFont="1" applyAlignment="1">
      <alignment horizontal="center" vertical="center" wrapText="1"/>
    </xf>
    <xf numFmtId="177" fontId="7" fillId="0" borderId="0" xfId="0" applyNumberFormat="1" applyFont="1" applyAlignment="1">
      <alignment horizontal="center" vertical="center" wrapText="1"/>
    </xf>
    <xf numFmtId="0" fontId="29" fillId="0" borderId="0" xfId="0" applyFont="1" applyAlignment="1">
      <alignment horizontal="center" vertical="center" wrapText="1"/>
    </xf>
    <xf numFmtId="0" fontId="30" fillId="0" borderId="0" xfId="0" applyFont="1" applyAlignment="1">
      <alignment horizontal="center" vertical="center"/>
    </xf>
    <xf numFmtId="0" fontId="19" fillId="8" borderId="4" xfId="0" applyFont="1" applyFill="1" applyBorder="1" applyAlignment="1">
      <alignment horizontal="center" vertical="center"/>
    </xf>
    <xf numFmtId="178" fontId="19" fillId="8" borderId="4" xfId="0" applyNumberFormat="1" applyFont="1" applyFill="1" applyBorder="1" applyAlignment="1">
      <alignment horizontal="center" vertical="center" wrapText="1"/>
    </xf>
    <xf numFmtId="0" fontId="19" fillId="0" borderId="4" xfId="0" applyFont="1" applyBorder="1" applyAlignment="1">
      <alignment horizontal="center" vertical="center" wrapText="1"/>
    </xf>
    <xf numFmtId="0" fontId="19" fillId="0" borderId="0" xfId="0" applyFont="1" applyAlignment="1">
      <alignment horizontal="center" vertical="center" wrapText="1"/>
    </xf>
    <xf numFmtId="0" fontId="22" fillId="0" borderId="0" xfId="0" applyFont="1" applyAlignment="1">
      <alignment horizontal="center" vertical="center"/>
    </xf>
    <xf numFmtId="0" fontId="2" fillId="3" borderId="0" xfId="0" applyFont="1" applyFill="1" applyAlignment="1">
      <alignment horizontal="center" vertical="center" wrapText="1"/>
    </xf>
    <xf numFmtId="0" fontId="1" fillId="2" borderId="0" xfId="0" applyFont="1" applyFill="1" applyAlignment="1">
      <alignment horizontal="center" vertical="center" wrapText="1"/>
    </xf>
    <xf numFmtId="9" fontId="0" fillId="0" borderId="0" xfId="0" applyNumberFormat="1" applyAlignment="1">
      <alignment horizontal="center" vertical="center"/>
    </xf>
    <xf numFmtId="0" fontId="31" fillId="0" borderId="0" xfId="0" applyFont="1"/>
    <xf numFmtId="0" fontId="32" fillId="0" borderId="0" xfId="0" applyFont="1"/>
    <xf numFmtId="0" fontId="0" fillId="0" borderId="0" xfId="0" applyAlignment="1">
      <alignment vertical="center" wrapText="1"/>
    </xf>
    <xf numFmtId="0" fontId="22" fillId="0" borderId="0" xfId="0" applyFont="1" applyAlignment="1" quotePrefix="1">
      <alignment horizontal="center" vertical="center"/>
    </xf>
    <xf numFmtId="0" fontId="0" fillId="0" borderId="0" xfId="0" applyAlignment="1" quotePrefix="1">
      <alignment horizontal="center" vertical="center"/>
    </xf>
    <xf numFmtId="0" fontId="23" fillId="9" borderId="0" xfId="0" applyFont="1" applyFill="1" applyAlignment="1" quotePrefix="1">
      <alignment vertical="center" wrapText="1"/>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10"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1" Type="http://schemas.openxmlformats.org/officeDocument/2006/relationships/styles" Target="styles.xml"/><Relationship Id="rId30" Type="http://schemas.microsoft.com/office/2006/relationships/vbaProject" Target="vbaProject.bin"/><Relationship Id="rId3" Type="http://schemas.openxmlformats.org/officeDocument/2006/relationships/worksheet" Target="worksheets/sheet3.xml"/><Relationship Id="rId29" Type="http://schemas.openxmlformats.org/officeDocument/2006/relationships/sharedStrings" Target="sharedStrings.xml"/><Relationship Id="rId28" Type="http://schemas.openxmlformats.org/officeDocument/2006/relationships/theme" Target="theme/theme1.xml"/><Relationship Id="rId27" Type="http://schemas.openxmlformats.org/officeDocument/2006/relationships/customXml" Target="../customXml/item1.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1554480</xdr:colOff>
          <xdr:row>0</xdr:row>
          <xdr:rowOff>228600</xdr:rowOff>
        </xdr:from>
        <xdr:to>
          <xdr:col>1</xdr:col>
          <xdr:colOff>2697480</xdr:colOff>
          <xdr:row>2</xdr:row>
          <xdr:rowOff>114300</xdr:rowOff>
        </xdr:to>
        <xdr:sp macro="[0]!登录">
          <xdr:nvSpPr>
            <xdr:cNvPr id="20481" name="Button 1" hidden="1">
              <a:extLst>
                <a:ext uri="{63B3BB69-23CF-44E3-9099-C40C66FF867C}">
                  <a14:compatExt spid="_x0000_s20481"/>
                </a:ext>
              </a:extLst>
            </xdr:cNvPr>
            <xdr:cNvSpPr/>
          </xdr:nvSpPr>
          <xdr:spPr>
            <a:xfrm>
              <a:off x="2926080" y="228600"/>
              <a:ext cx="1143000" cy="33909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2827020</xdr:colOff>
          <xdr:row>0</xdr:row>
          <xdr:rowOff>228600</xdr:rowOff>
        </xdr:from>
        <xdr:to>
          <xdr:col>4</xdr:col>
          <xdr:colOff>487680</xdr:colOff>
          <xdr:row>2</xdr:row>
          <xdr:rowOff>114300</xdr:rowOff>
        </xdr:to>
        <xdr:sp macro="[0]!导入当前工作表">
          <xdr:nvSpPr>
            <xdr:cNvPr id="20482" name="Button 2" hidden="1">
              <a:extLst>
                <a:ext uri="{63B3BB69-23CF-44E3-9099-C40C66FF867C}">
                  <a14:compatExt spid="_x0000_s20482"/>
                </a:ext>
              </a:extLst>
            </xdr:cNvPr>
            <xdr:cNvSpPr/>
          </xdr:nvSpPr>
          <xdr:spPr>
            <a:xfrm>
              <a:off x="4198620" y="228600"/>
              <a:ext cx="2232660" cy="33909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导入当前工作表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228600</xdr:rowOff>
        </xdr:from>
        <xdr:to>
          <xdr:col>8</xdr:col>
          <xdr:colOff>53340</xdr:colOff>
          <xdr:row>2</xdr:row>
          <xdr:rowOff>114300</xdr:rowOff>
        </xdr:to>
        <xdr:sp macro="[0]!按顺序导入全部">
          <xdr:nvSpPr>
            <xdr:cNvPr id="20483" name="Button 3" hidden="1">
              <a:extLst>
                <a:ext uri="{63B3BB69-23CF-44E3-9099-C40C66FF867C}">
                  <a14:compatExt spid="_x0000_s20483"/>
                </a:ext>
              </a:extLst>
            </xdr:cNvPr>
            <xdr:cNvSpPr/>
          </xdr:nvSpPr>
          <xdr:spPr>
            <a:xfrm>
              <a:off x="6629400" y="228600"/>
              <a:ext cx="2110740" cy="33909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按顺序导入全部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0</xdr:row>
          <xdr:rowOff>228600</xdr:rowOff>
        </xdr:from>
        <xdr:to>
          <xdr:col>11</xdr:col>
          <xdr:colOff>106680</xdr:colOff>
          <xdr:row>2</xdr:row>
          <xdr:rowOff>114300</xdr:rowOff>
        </xdr:to>
        <xdr:sp macro="[0]!从入库载入">
          <xdr:nvSpPr>
            <xdr:cNvPr id="20484" name="Button 4" hidden="1">
              <a:extLst>
                <a:ext uri="{63B3BB69-23CF-44E3-9099-C40C66FF867C}">
                  <a14:compatExt spid="_x0000_s20484"/>
                </a:ext>
              </a:extLst>
            </xdr:cNvPr>
            <xdr:cNvSpPr/>
          </xdr:nvSpPr>
          <xdr:spPr>
            <a:xfrm>
              <a:off x="8869680" y="228600"/>
              <a:ext cx="1981200" cy="33909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从入库载入</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3002280</xdr:colOff>
          <xdr:row>6</xdr:row>
          <xdr:rowOff>0</xdr:rowOff>
        </xdr:from>
        <xdr:to>
          <xdr:col>4</xdr:col>
          <xdr:colOff>411480</xdr:colOff>
          <xdr:row>7</xdr:row>
          <xdr:rowOff>167640</xdr:rowOff>
        </xdr:to>
        <xdr:sp>
          <xdr:nvSpPr>
            <xdr:cNvPr id="20485" name="Button 5" hidden="1">
              <a:extLst>
                <a:ext uri="{63B3BB69-23CF-44E3-9099-C40C66FF867C}">
                  <a14:compatExt spid="_x0000_s20485"/>
                </a:ext>
              </a:extLst>
            </xdr:cNvPr>
            <xdr:cNvSpPr/>
          </xdr:nvSpPr>
          <xdr:spPr>
            <a:xfrm>
              <a:off x="4373880" y="1139190"/>
              <a:ext cx="1981200" cy="33909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公司采购计划转欧贝平台</a:t>
              </a:r>
              <a:endParaRPr lang="zh-CN" altLang="en-US" sz="11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601980</xdr:colOff>
          <xdr:row>6</xdr:row>
          <xdr:rowOff>9525</xdr:rowOff>
        </xdr:from>
        <xdr:to>
          <xdr:col>7</xdr:col>
          <xdr:colOff>525780</xdr:colOff>
          <xdr:row>8</xdr:row>
          <xdr:rowOff>5715</xdr:rowOff>
        </xdr:to>
        <xdr:sp>
          <xdr:nvSpPr>
            <xdr:cNvPr id="20486" name="Button 6" hidden="1">
              <a:extLst>
                <a:ext uri="{63B3BB69-23CF-44E3-9099-C40C66FF867C}">
                  <a14:compatExt spid="_x0000_s20486"/>
                </a:ext>
              </a:extLst>
            </xdr:cNvPr>
            <xdr:cNvSpPr/>
          </xdr:nvSpPr>
          <xdr:spPr>
            <a:xfrm>
              <a:off x="6545580" y="1148715"/>
              <a:ext cx="1981200" cy="33909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公司采购转合同系统</a:t>
              </a:r>
              <a:endParaRPr lang="zh-CN" altLang="en-US" sz="11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182880</xdr:colOff>
          <xdr:row>14</xdr:row>
          <xdr:rowOff>167640</xdr:rowOff>
        </xdr:to>
        <xdr:sp macro="[0]!登录">
          <xdr:nvSpPr>
            <xdr:cNvPr id="2073" name="Button 25" hidden="1">
              <a:extLst>
                <a:ext uri="{63B3BB69-23CF-44E3-9099-C40C66FF867C}">
                  <a14:compatExt spid="_x0000_s2073"/>
                </a:ext>
              </a:extLst>
            </xdr:cNvPr>
            <xdr:cNvSpPr/>
          </xdr:nvSpPr>
          <xdr:spPr>
            <a:xfrm>
              <a:off x="4267200" y="3364230"/>
              <a:ext cx="1249680" cy="33909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13</xdr:row>
          <xdr:rowOff>0</xdr:rowOff>
        </xdr:from>
        <xdr:to>
          <xdr:col>7</xdr:col>
          <xdr:colOff>167640</xdr:colOff>
          <xdr:row>14</xdr:row>
          <xdr:rowOff>167640</xdr:rowOff>
        </xdr:to>
        <xdr:sp macro="[0]!导入当前工作表">
          <xdr:nvSpPr>
            <xdr:cNvPr id="2074" name="Button 26" hidden="1">
              <a:extLst>
                <a:ext uri="{63B3BB69-23CF-44E3-9099-C40C66FF867C}">
                  <a14:compatExt spid="_x0000_s2074"/>
                </a:ext>
              </a:extLst>
            </xdr:cNvPr>
            <xdr:cNvSpPr/>
          </xdr:nvSpPr>
          <xdr:spPr>
            <a:xfrm>
              <a:off x="5646420" y="3364230"/>
              <a:ext cx="1988820" cy="33909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导入当前工作表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15</xdr:col>
          <xdr:colOff>236220</xdr:colOff>
          <xdr:row>0</xdr:row>
          <xdr:rowOff>152400</xdr:rowOff>
        </xdr:from>
        <xdr:to>
          <xdr:col>17</xdr:col>
          <xdr:colOff>144780</xdr:colOff>
          <xdr:row>0</xdr:row>
          <xdr:rowOff>502920</xdr:rowOff>
        </xdr:to>
        <xdr:sp macro="[0]!登录">
          <xdr:nvSpPr>
            <xdr:cNvPr id="9233" name="Button 17" hidden="1">
              <a:extLst>
                <a:ext uri="{63B3BB69-23CF-44E3-9099-C40C66FF867C}">
                  <a14:compatExt spid="_x0000_s9233"/>
                </a:ext>
              </a:extLst>
            </xdr:cNvPr>
            <xdr:cNvSpPr/>
          </xdr:nvSpPr>
          <xdr:spPr>
            <a:xfrm>
              <a:off x="12733020" y="152400"/>
              <a:ext cx="1280160" cy="35052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274320</xdr:colOff>
          <xdr:row>0</xdr:row>
          <xdr:rowOff>152400</xdr:rowOff>
        </xdr:from>
        <xdr:to>
          <xdr:col>20</xdr:col>
          <xdr:colOff>198120</xdr:colOff>
          <xdr:row>0</xdr:row>
          <xdr:rowOff>502920</xdr:rowOff>
        </xdr:to>
        <xdr:sp macro="[0]!导入当前工作表">
          <xdr:nvSpPr>
            <xdr:cNvPr id="9234" name="Button 18" hidden="1">
              <a:extLst>
                <a:ext uri="{63B3BB69-23CF-44E3-9099-C40C66FF867C}">
                  <a14:compatExt spid="_x0000_s9234"/>
                </a:ext>
              </a:extLst>
            </xdr:cNvPr>
            <xdr:cNvSpPr/>
          </xdr:nvSpPr>
          <xdr:spPr>
            <a:xfrm>
              <a:off x="14142720" y="152400"/>
              <a:ext cx="1981200" cy="35052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导入当前工作表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137160</xdr:colOff>
          <xdr:row>0</xdr:row>
          <xdr:rowOff>243840</xdr:rowOff>
        </xdr:from>
        <xdr:to>
          <xdr:col>25</xdr:col>
          <xdr:colOff>60960</xdr:colOff>
          <xdr:row>0</xdr:row>
          <xdr:rowOff>594360</xdr:rowOff>
        </xdr:to>
        <xdr:sp macro="[0]!删除指定单元格后连续的内容.删除指定单元格后连续的内容">
          <xdr:nvSpPr>
            <xdr:cNvPr id="9236" name="Button 20" hidden="1">
              <a:extLst>
                <a:ext uri="{63B3BB69-23CF-44E3-9099-C40C66FF867C}">
                  <a14:compatExt spid="_x0000_s9236"/>
                </a:ext>
              </a:extLst>
            </xdr:cNvPr>
            <xdr:cNvSpPr/>
          </xdr:nvSpPr>
          <xdr:spPr>
            <a:xfrm>
              <a:off x="17434560" y="243840"/>
              <a:ext cx="1981200" cy="35052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删除指定单元格后的连续内容</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11</xdr:col>
          <xdr:colOff>1057275</xdr:colOff>
          <xdr:row>0</xdr:row>
          <xdr:rowOff>87630</xdr:rowOff>
        </xdr:from>
        <xdr:to>
          <xdr:col>13</xdr:col>
          <xdr:colOff>592455</xdr:colOff>
          <xdr:row>0</xdr:row>
          <xdr:rowOff>689610</xdr:rowOff>
        </xdr:to>
        <xdr:sp macro="[0]!登录">
          <xdr:nvSpPr>
            <xdr:cNvPr id="13327" name="Button 15" hidden="1">
              <a:extLst>
                <a:ext uri="{63B3BB69-23CF-44E3-9099-C40C66FF867C}">
                  <a14:compatExt spid="_x0000_s13327"/>
                </a:ext>
              </a:extLst>
            </xdr:cNvPr>
            <xdr:cNvSpPr/>
          </xdr:nvSpPr>
          <xdr:spPr>
            <a:xfrm>
              <a:off x="12792075" y="87630"/>
              <a:ext cx="1668780" cy="60198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97155</xdr:colOff>
          <xdr:row>0</xdr:row>
          <xdr:rowOff>57150</xdr:rowOff>
        </xdr:from>
        <xdr:to>
          <xdr:col>16</xdr:col>
          <xdr:colOff>394335</xdr:colOff>
          <xdr:row>0</xdr:row>
          <xdr:rowOff>659130</xdr:rowOff>
        </xdr:to>
        <xdr:sp macro="[0]!导入当前工作表">
          <xdr:nvSpPr>
            <xdr:cNvPr id="13328" name="Button 16" hidden="1">
              <a:extLst>
                <a:ext uri="{63B3BB69-23CF-44E3-9099-C40C66FF867C}">
                  <a14:compatExt spid="_x0000_s13328"/>
                </a:ext>
              </a:extLst>
            </xdr:cNvPr>
            <xdr:cNvSpPr/>
          </xdr:nvSpPr>
          <xdr:spPr>
            <a:xfrm>
              <a:off x="15032355" y="57150"/>
              <a:ext cx="1668780" cy="60198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30480</xdr:rowOff>
        </xdr:from>
        <xdr:to>
          <xdr:col>8</xdr:col>
          <xdr:colOff>601980</xdr:colOff>
          <xdr:row>0</xdr:row>
          <xdr:rowOff>632460</xdr:rowOff>
        </xdr:to>
        <xdr:sp macro="[0]!登录">
          <xdr:nvSpPr>
            <xdr:cNvPr id="1058" name="Button 34" hidden="1">
              <a:extLst>
                <a:ext uri="{63B3BB69-23CF-44E3-9099-C40C66FF867C}">
                  <a14:compatExt spid="_x0000_s1058"/>
                </a:ext>
              </a:extLst>
            </xdr:cNvPr>
            <xdr:cNvSpPr/>
          </xdr:nvSpPr>
          <xdr:spPr>
            <a:xfrm>
              <a:off x="8753475" y="30480"/>
              <a:ext cx="1668780" cy="60198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106680</xdr:colOff>
          <xdr:row>0</xdr:row>
          <xdr:rowOff>0</xdr:rowOff>
        </xdr:from>
        <xdr:to>
          <xdr:col>10</xdr:col>
          <xdr:colOff>708660</xdr:colOff>
          <xdr:row>0</xdr:row>
          <xdr:rowOff>601980</xdr:rowOff>
        </xdr:to>
        <xdr:sp macro="[0]!导入当前工作表">
          <xdr:nvSpPr>
            <xdr:cNvPr id="1059" name="Button 35" hidden="1">
              <a:extLst>
                <a:ext uri="{63B3BB69-23CF-44E3-9099-C40C66FF867C}">
                  <a14:compatExt spid="_x0000_s1059"/>
                </a:ext>
              </a:extLst>
            </xdr:cNvPr>
            <xdr:cNvSpPr/>
          </xdr:nvSpPr>
          <xdr:spPr>
            <a:xfrm>
              <a:off x="10993755" y="0"/>
              <a:ext cx="1668780" cy="60198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944880</xdr:colOff>
          <xdr:row>0</xdr:row>
          <xdr:rowOff>38100</xdr:rowOff>
        </xdr:from>
        <xdr:to>
          <xdr:col>8</xdr:col>
          <xdr:colOff>586740</xdr:colOff>
          <xdr:row>2</xdr:row>
          <xdr:rowOff>76200</xdr:rowOff>
        </xdr:to>
        <xdr:sp macro="[0]!登录">
          <xdr:nvSpPr>
            <xdr:cNvPr id="19491" name="Button 35" hidden="1">
              <a:extLst>
                <a:ext uri="{63B3BB69-23CF-44E3-9099-C40C66FF867C}">
                  <a14:compatExt spid="_x0000_s19491"/>
                </a:ext>
              </a:extLst>
            </xdr:cNvPr>
            <xdr:cNvSpPr/>
          </xdr:nvSpPr>
          <xdr:spPr>
            <a:xfrm>
              <a:off x="8734425" y="38100"/>
              <a:ext cx="1775460" cy="59817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91440</xdr:colOff>
          <xdr:row>0</xdr:row>
          <xdr:rowOff>0</xdr:rowOff>
        </xdr:from>
        <xdr:to>
          <xdr:col>10</xdr:col>
          <xdr:colOff>693420</xdr:colOff>
          <xdr:row>2</xdr:row>
          <xdr:rowOff>38100</xdr:rowOff>
        </xdr:to>
        <xdr:sp macro="[0]!导入当前工作表">
          <xdr:nvSpPr>
            <xdr:cNvPr id="19526" name="Button 70" hidden="1">
              <a:extLst>
                <a:ext uri="{63B3BB69-23CF-44E3-9099-C40C66FF867C}">
                  <a14:compatExt spid="_x0000_s19526"/>
                </a:ext>
              </a:extLst>
            </xdr:cNvPr>
            <xdr:cNvSpPr/>
          </xdr:nvSpPr>
          <xdr:spPr>
            <a:xfrm>
              <a:off x="11081385" y="0"/>
              <a:ext cx="1668780" cy="59817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350520</xdr:colOff>
          <xdr:row>21</xdr:row>
          <xdr:rowOff>53340</xdr:rowOff>
        </xdr:from>
        <xdr:to>
          <xdr:col>6</xdr:col>
          <xdr:colOff>205740</xdr:colOff>
          <xdr:row>23</xdr:row>
          <xdr:rowOff>38100</xdr:rowOff>
        </xdr:to>
        <xdr:sp macro="[0]!导入当前工作表">
          <xdr:nvSpPr>
            <xdr:cNvPr id="3085" name="Button 13" hidden="1">
              <a:extLst>
                <a:ext uri="{63B3BB69-23CF-44E3-9099-C40C66FF867C}">
                  <a14:compatExt spid="_x0000_s3085"/>
                </a:ext>
              </a:extLst>
            </xdr:cNvPr>
            <xdr:cNvSpPr/>
          </xdr:nvSpPr>
          <xdr:spPr>
            <a:xfrm>
              <a:off x="4617720" y="3762375"/>
              <a:ext cx="1988820" cy="32766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导入当前工作表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449580</xdr:colOff>
          <xdr:row>21</xdr:row>
          <xdr:rowOff>7620</xdr:rowOff>
        </xdr:from>
        <xdr:to>
          <xdr:col>3</xdr:col>
          <xdr:colOff>632460</xdr:colOff>
          <xdr:row>22</xdr:row>
          <xdr:rowOff>175260</xdr:rowOff>
        </xdr:to>
        <xdr:sp macro="[0]!登录">
          <xdr:nvSpPr>
            <xdr:cNvPr id="3086" name="Button 14" hidden="1">
              <a:extLst>
                <a:ext uri="{63B3BB69-23CF-44E3-9099-C40C66FF867C}">
                  <a14:compatExt spid="_x0000_s3086"/>
                </a:ext>
              </a:extLst>
            </xdr:cNvPr>
            <xdr:cNvSpPr/>
          </xdr:nvSpPr>
          <xdr:spPr>
            <a:xfrm>
              <a:off x="2583180" y="3716655"/>
              <a:ext cx="1249680" cy="33528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2</xdr:col>
          <xdr:colOff>449580</xdr:colOff>
          <xdr:row>19</xdr:row>
          <xdr:rowOff>121920</xdr:rowOff>
        </xdr:from>
        <xdr:to>
          <xdr:col>3</xdr:col>
          <xdr:colOff>632460</xdr:colOff>
          <xdr:row>21</xdr:row>
          <xdr:rowOff>106680</xdr:rowOff>
        </xdr:to>
        <xdr:sp macro="[0]!登录">
          <xdr:nvSpPr>
            <xdr:cNvPr id="4104" name="Button 8" hidden="1">
              <a:extLst>
                <a:ext uri="{63B3BB69-23CF-44E3-9099-C40C66FF867C}">
                  <a14:compatExt spid="_x0000_s4104"/>
                </a:ext>
              </a:extLst>
            </xdr:cNvPr>
            <xdr:cNvSpPr/>
          </xdr:nvSpPr>
          <xdr:spPr>
            <a:xfrm>
              <a:off x="2887980" y="3488055"/>
              <a:ext cx="1249680" cy="32766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762000</xdr:colOff>
          <xdr:row>19</xdr:row>
          <xdr:rowOff>121920</xdr:rowOff>
        </xdr:from>
        <xdr:to>
          <xdr:col>5</xdr:col>
          <xdr:colOff>617220</xdr:colOff>
          <xdr:row>21</xdr:row>
          <xdr:rowOff>106680</xdr:rowOff>
        </xdr:to>
        <xdr:sp macro="[0]!导入当前工作表">
          <xdr:nvSpPr>
            <xdr:cNvPr id="4105" name="Button 9" hidden="1">
              <a:extLst>
                <a:ext uri="{63B3BB69-23CF-44E3-9099-C40C66FF867C}">
                  <a14:compatExt spid="_x0000_s4105"/>
                </a:ext>
              </a:extLst>
            </xdr:cNvPr>
            <xdr:cNvSpPr/>
          </xdr:nvSpPr>
          <xdr:spPr>
            <a:xfrm>
              <a:off x="4267200" y="3488055"/>
              <a:ext cx="1988820" cy="32766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导入当前工作表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510540</xdr:colOff>
          <xdr:row>20</xdr:row>
          <xdr:rowOff>7620</xdr:rowOff>
        </xdr:from>
        <xdr:to>
          <xdr:col>1</xdr:col>
          <xdr:colOff>693420</xdr:colOff>
          <xdr:row>21</xdr:row>
          <xdr:rowOff>175260</xdr:rowOff>
        </xdr:to>
        <xdr:sp macro="[0]!登录">
          <xdr:nvSpPr>
            <xdr:cNvPr id="5126" name="Button 6" hidden="1">
              <a:extLst>
                <a:ext uri="{63B3BB69-23CF-44E3-9099-C40C66FF867C}">
                  <a14:compatExt spid="_x0000_s5126"/>
                </a:ext>
              </a:extLst>
            </xdr:cNvPr>
            <xdr:cNvSpPr/>
          </xdr:nvSpPr>
          <xdr:spPr>
            <a:xfrm>
              <a:off x="510540" y="3545205"/>
              <a:ext cx="1249680" cy="33528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登录</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822960</xdr:colOff>
          <xdr:row>20</xdr:row>
          <xdr:rowOff>7620</xdr:rowOff>
        </xdr:from>
        <xdr:to>
          <xdr:col>3</xdr:col>
          <xdr:colOff>678180</xdr:colOff>
          <xdr:row>21</xdr:row>
          <xdr:rowOff>175260</xdr:rowOff>
        </xdr:to>
        <xdr:sp macro="[0]!导入当前工作表">
          <xdr:nvSpPr>
            <xdr:cNvPr id="5127" name="Button 7" hidden="1">
              <a:extLst>
                <a:ext uri="{63B3BB69-23CF-44E3-9099-C40C66FF867C}">
                  <a14:compatExt spid="_x0000_s5127"/>
                </a:ext>
              </a:extLst>
            </xdr:cNvPr>
            <xdr:cNvSpPr/>
          </xdr:nvSpPr>
          <xdr:spPr>
            <a:xfrm>
              <a:off x="1889760" y="3545205"/>
              <a:ext cx="1988820" cy="33528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导入当前工作表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4" Type="http://schemas.openxmlformats.org/officeDocument/2006/relationships/hyperlink" Target="mailto:330198873@qq.com" TargetMode="External"/><Relationship Id="rId3" Type="http://schemas.openxmlformats.org/officeDocument/2006/relationships/hyperlink" Target="mailto:zpynwz@163.com" TargetMode="External"/><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5" Type="http://schemas.openxmlformats.org/officeDocument/2006/relationships/ctrlProp" Target="../ctrlProps/ctrlProp8.xml"/><Relationship Id="rId4" Type="http://schemas.openxmlformats.org/officeDocument/2006/relationships/ctrlProp" Target="../ctrlProps/ctrlProp7.xml"/><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5.xml"/></Relationships>
</file>

<file path=xl/worksheets/_rels/sheet9.xml.rels><?xml version="1.0" encoding="UTF-8" standalone="yes"?>
<Relationships xmlns="http://schemas.openxmlformats.org/package/2006/relationships"><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5" Type="http://schemas.openxmlformats.org/officeDocument/2006/relationships/ctrlProp" Target="../ctrlProps/ctrlProp13.xml"/><Relationship Id="rId4" Type="http://schemas.openxmlformats.org/officeDocument/2006/relationships/ctrlProp" Target="../ctrlProps/ctrlProp12.xml"/><Relationship Id="rId3" Type="http://schemas.openxmlformats.org/officeDocument/2006/relationships/vmlDrawing" Target="../drawings/vmlDrawing11.vml"/><Relationship Id="rId2" Type="http://schemas.openxmlformats.org/officeDocument/2006/relationships/drawing" Target="../drawings/drawing4.xml"/><Relationship Id="rId1"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vmlDrawing" Target="../drawings/vmlDrawing17.vml"/><Relationship Id="rId2" Type="http://schemas.openxmlformats.org/officeDocument/2006/relationships/drawing" Target="../drawings/drawing5.xml"/><Relationship Id="rId1"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7.xml"/></Relationships>
</file>

<file path=xl/worksheets/_rels/sheet21.xml.rels><?xml version="1.0" encoding="UTF-8" standalone="yes"?>
<Relationships xmlns="http://schemas.openxmlformats.org/package/2006/relationships"><Relationship Id="rId5" Type="http://schemas.openxmlformats.org/officeDocument/2006/relationships/ctrlProp" Target="../ctrlProps/ctrlProp17.xml"/><Relationship Id="rId4" Type="http://schemas.openxmlformats.org/officeDocument/2006/relationships/ctrlProp" Target="../ctrlProps/ctrlProp16.xml"/><Relationship Id="rId3" Type="http://schemas.openxmlformats.org/officeDocument/2006/relationships/vmlDrawing" Target="../drawings/vmlDrawing19.vml"/><Relationship Id="rId2" Type="http://schemas.openxmlformats.org/officeDocument/2006/relationships/drawing" Target="../drawings/drawing6.xml"/><Relationship Id="rId1"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5" Type="http://schemas.openxmlformats.org/officeDocument/2006/relationships/ctrlProp" Target="../ctrlProps/ctrlProp19.xml"/><Relationship Id="rId4" Type="http://schemas.openxmlformats.org/officeDocument/2006/relationships/ctrlProp" Target="../ctrlProps/ctrlProp18.xml"/><Relationship Id="rId3" Type="http://schemas.openxmlformats.org/officeDocument/2006/relationships/vmlDrawing" Target="../drawings/vmlDrawing20.vml"/><Relationship Id="rId2" Type="http://schemas.openxmlformats.org/officeDocument/2006/relationships/drawing" Target="../drawings/drawing7.xml"/><Relationship Id="rId1" Type="http://schemas.openxmlformats.org/officeDocument/2006/relationships/comments" Target="../comments19.xml"/></Relationships>
</file>

<file path=xl/worksheets/_rels/sheet23.xml.rels><?xml version="1.0" encoding="UTF-8" standalone="yes"?>
<Relationships xmlns="http://schemas.openxmlformats.org/package/2006/relationships"><Relationship Id="rId5" Type="http://schemas.openxmlformats.org/officeDocument/2006/relationships/ctrlProp" Target="../ctrlProps/ctrlProp21.xml"/><Relationship Id="rId4" Type="http://schemas.openxmlformats.org/officeDocument/2006/relationships/ctrlProp" Target="../ctrlProps/ctrlProp20.xml"/><Relationship Id="rId3" Type="http://schemas.openxmlformats.org/officeDocument/2006/relationships/vmlDrawing" Target="../drawings/vmlDrawing21.vml"/><Relationship Id="rId2" Type="http://schemas.openxmlformats.org/officeDocument/2006/relationships/drawing" Target="../drawings/drawing8.xml"/><Relationship Id="rId1" Type="http://schemas.openxmlformats.org/officeDocument/2006/relationships/comments" Target="../comments20.xml"/></Relationships>
</file>

<file path=xl/worksheets/_rels/sheet24.xml.rels><?xml version="1.0" encoding="UTF-8" standalone="yes"?>
<Relationships xmlns="http://schemas.openxmlformats.org/package/2006/relationships"><Relationship Id="rId5" Type="http://schemas.openxmlformats.org/officeDocument/2006/relationships/ctrlProp" Target="../ctrlProps/ctrlProp23.xml"/><Relationship Id="rId4" Type="http://schemas.openxmlformats.org/officeDocument/2006/relationships/ctrlProp" Target="../ctrlProps/ctrlProp22.xml"/><Relationship Id="rId3" Type="http://schemas.openxmlformats.org/officeDocument/2006/relationships/vmlDrawing" Target="../drawings/vmlDrawing22.vml"/><Relationship Id="rId2" Type="http://schemas.openxmlformats.org/officeDocument/2006/relationships/drawing" Target="../drawings/drawing9.xml"/><Relationship Id="rId1" Type="http://schemas.openxmlformats.org/officeDocument/2006/relationships/comments" Target="../comments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23"/>
  <sheetViews>
    <sheetView showGridLines="0" workbookViewId="0">
      <selection activeCell="C24" sqref="C24"/>
    </sheetView>
  </sheetViews>
  <sheetFormatPr defaultColWidth="9" defaultRowHeight="13.5" outlineLevelCol="5"/>
  <cols>
    <col min="1" max="1" width="18" customWidth="1"/>
    <col min="2" max="2" width="42" customWidth="1"/>
  </cols>
  <sheetData>
    <row r="1" ht="22.2" customHeight="1" spans="1:2">
      <c r="A1" s="69" t="s">
        <v>0</v>
      </c>
    </row>
    <row r="2" spans="1:2">
      <c r="A2" t="s">
        <v>1</v>
      </c>
      <c r="B2" t="s">
        <v>2</v>
      </c>
    </row>
    <row r="3" spans="1:2">
      <c r="A3" t="s">
        <v>3</v>
      </c>
      <c r="B3" t="s">
        <v>4</v>
      </c>
    </row>
    <row r="4" spans="1:2">
      <c r="A4" t="s">
        <v>5</v>
      </c>
      <c r="B4" s="35">
        <v>123456</v>
      </c>
    </row>
    <row r="5" spans="1:2">
      <c r="A5" t="s">
        <v>6</v>
      </c>
    </row>
    <row r="6" spans="1:2">
      <c r="A6" t="s">
        <v>7</v>
      </c>
      <c r="B6" t="s">
        <v>8</v>
      </c>
    </row>
    <row r="7" spans="1:2">
      <c r="A7" t="s">
        <v>9</v>
      </c>
      <c r="B7" t="s">
        <v>10</v>
      </c>
    </row>
    <row r="8" spans="1:2">
      <c r="A8" t="s">
        <v>11</v>
      </c>
      <c r="B8" t="s">
        <v>12</v>
      </c>
    </row>
    <row r="9" spans="1:2">
      <c r="A9" t="s">
        <v>13</v>
      </c>
    </row>
    <row r="10" ht="19.95" customHeight="1" spans="1:2">
      <c r="A10" t="s">
        <v>14</v>
      </c>
    </row>
    <row r="11" ht="31.95" customHeight="1" spans="1:2">
      <c r="A11" s="70" t="s">
        <v>15</v>
      </c>
    </row>
    <row r="12" ht="31.95" customHeight="1" spans="1:2">
      <c r="A12" s="70" t="s">
        <v>16</v>
      </c>
    </row>
    <row r="13" ht="31.95" customHeight="1" spans="1:2">
      <c r="A13" s="70" t="s">
        <v>17</v>
      </c>
    </row>
    <row r="14" ht="31.95" customHeight="1" spans="1:2">
      <c r="A14" s="70" t="s">
        <v>18</v>
      </c>
    </row>
    <row r="15" ht="31.95" customHeight="1" spans="1:2">
      <c r="A15" s="70" t="s">
        <v>19</v>
      </c>
    </row>
    <row r="16" ht="31.95" customHeight="1" spans="1:2">
      <c r="A16" s="70" t="s">
        <v>20</v>
      </c>
    </row>
    <row r="17" ht="31.95" customHeight="1" spans="1:3">
      <c r="A17" s="70" t="s">
        <v>21</v>
      </c>
    </row>
    <row r="18" ht="31.95" customHeight="1" spans="1:3">
      <c r="A18" s="70" t="s">
        <v>22</v>
      </c>
    </row>
    <row r="23" spans="1:3">
      <c r="B23" t="s">
        <v>23</v>
      </c>
      <c r="C23" t="str">
        <f>UPPER(B23)</f>
        <v>LINGONG HEAVY MACHINERY CO., LTD</v>
      </c>
    </row>
  </sheetData>
  <mergeCells count="8">
    <mergeCell ref="A11:F11"/>
    <mergeCell ref="A12:F12"/>
    <mergeCell ref="A13:F13"/>
    <mergeCell ref="A14:F14"/>
    <mergeCell ref="A15:F15"/>
    <mergeCell ref="A16:F16"/>
    <mergeCell ref="A17:F17"/>
    <mergeCell ref="A18:F18"/>
  </mergeCells>
  <dataValidations count="1">
    <dataValidation type="list" sqref="B7">
      <formula1>"按物料编号更新,清空后重新导入,追加"</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20481" name="Button 1" r:id="rId3">
              <controlPr print="0" defaultSize="0">
                <anchor moveWithCells="1" sizeWithCells="1">
                  <from>
                    <xdr:col>1</xdr:col>
                    <xdr:colOff>1554480</xdr:colOff>
                    <xdr:row>0</xdr:row>
                    <xdr:rowOff>228600</xdr:rowOff>
                  </from>
                  <to>
                    <xdr:col>1</xdr:col>
                    <xdr:colOff>2697480</xdr:colOff>
                    <xdr:row>2</xdr:row>
                    <xdr:rowOff>114300</xdr:rowOff>
                  </to>
                </anchor>
              </controlPr>
            </control>
          </mc:Choice>
        </mc:AlternateContent>
        <mc:AlternateContent xmlns:mc="http://schemas.openxmlformats.org/markup-compatibility/2006">
          <mc:Choice Requires="x14">
            <control shapeId="20482" name="Button 2" r:id="rId4">
              <controlPr print="0" defaultSize="0">
                <anchor moveWithCells="1" sizeWithCells="1">
                  <from>
                    <xdr:col>1</xdr:col>
                    <xdr:colOff>2827020</xdr:colOff>
                    <xdr:row>0</xdr:row>
                    <xdr:rowOff>228600</xdr:rowOff>
                  </from>
                  <to>
                    <xdr:col>4</xdr:col>
                    <xdr:colOff>487680</xdr:colOff>
                    <xdr:row>2</xdr:row>
                    <xdr:rowOff>114300</xdr:rowOff>
                  </to>
                </anchor>
              </controlPr>
            </control>
          </mc:Choice>
        </mc:AlternateContent>
        <mc:AlternateContent xmlns:mc="http://schemas.openxmlformats.org/markup-compatibility/2006">
          <mc:Choice Requires="x14">
            <control shapeId="20483" name="Button 3" r:id="rId5">
              <controlPr print="0" defaultSize="0">
                <anchor moveWithCells="1" sizeWithCells="1">
                  <from>
                    <xdr:col>5</xdr:col>
                    <xdr:colOff>0</xdr:colOff>
                    <xdr:row>0</xdr:row>
                    <xdr:rowOff>228600</xdr:rowOff>
                  </from>
                  <to>
                    <xdr:col>8</xdr:col>
                    <xdr:colOff>53340</xdr:colOff>
                    <xdr:row>2</xdr:row>
                    <xdr:rowOff>114300</xdr:rowOff>
                  </to>
                </anchor>
              </controlPr>
            </control>
          </mc:Choice>
        </mc:AlternateContent>
        <mc:AlternateContent xmlns:mc="http://schemas.openxmlformats.org/markup-compatibility/2006">
          <mc:Choice Requires="x14">
            <control shapeId="20484" name="Button 4" r:id="rId6">
              <controlPr print="0" defaultSize="0">
                <anchor moveWithCells="1" sizeWithCells="1">
                  <from>
                    <xdr:col>8</xdr:col>
                    <xdr:colOff>182880</xdr:colOff>
                    <xdr:row>0</xdr:row>
                    <xdr:rowOff>228600</xdr:rowOff>
                  </from>
                  <to>
                    <xdr:col>11</xdr:col>
                    <xdr:colOff>106680</xdr:colOff>
                    <xdr:row>2</xdr:row>
                    <xdr:rowOff>114300</xdr:rowOff>
                  </to>
                </anchor>
              </controlPr>
            </control>
          </mc:Choice>
        </mc:AlternateContent>
        <mc:AlternateContent xmlns:mc="http://schemas.openxmlformats.org/markup-compatibility/2006">
          <mc:Choice Requires="x14">
            <control shapeId="20485" name="Button 5" r:id="rId7">
              <controlPr print="0" defaultSize="0">
                <anchor moveWithCells="1" sizeWithCells="1">
                  <from>
                    <xdr:col>1</xdr:col>
                    <xdr:colOff>3002280</xdr:colOff>
                    <xdr:row>6</xdr:row>
                    <xdr:rowOff>0</xdr:rowOff>
                  </from>
                  <to>
                    <xdr:col>4</xdr:col>
                    <xdr:colOff>411480</xdr:colOff>
                    <xdr:row>7</xdr:row>
                    <xdr:rowOff>167640</xdr:rowOff>
                  </to>
                </anchor>
              </controlPr>
            </control>
          </mc:Choice>
        </mc:AlternateContent>
        <mc:AlternateContent xmlns:mc="http://schemas.openxmlformats.org/markup-compatibility/2006">
          <mc:Choice Requires="x14">
            <control shapeId="20486" name="Button 6" r:id="rId8">
              <controlPr print="0" defaultSize="0">
                <anchor moveWithCells="1" sizeWithCells="1">
                  <from>
                    <xdr:col>4</xdr:col>
                    <xdr:colOff>601980</xdr:colOff>
                    <xdr:row>6</xdr:row>
                    <xdr:rowOff>9525</xdr:rowOff>
                  </from>
                  <to>
                    <xdr:col>7</xdr:col>
                    <xdr:colOff>525780</xdr:colOff>
                    <xdr:row>8</xdr:row>
                    <xdr:rowOff>5715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dimension ref="A1:X95"/>
  <sheetViews>
    <sheetView zoomScale="85" zoomScaleNormal="85" workbookViewId="0">
      <pane ySplit="1" topLeftCell="A2" activePane="bottomLeft" state="frozen"/>
      <selection/>
      <selection pane="bottomLeft" activeCell="E92" sqref="E92"/>
    </sheetView>
  </sheetViews>
  <sheetFormatPr defaultColWidth="9" defaultRowHeight="25.05" customHeight="1"/>
  <cols>
    <col min="1" max="1" width="9" style="44"/>
    <col min="2" max="2" width="43.4416666666667" style="44" customWidth="1"/>
    <col min="3" max="20" width="18" style="44" customWidth="1"/>
    <col min="21" max="16384" width="9" style="44"/>
  </cols>
  <sheetData>
    <row r="1" customHeight="1" spans="1:24">
      <c r="A1" s="65" t="s">
        <v>24</v>
      </c>
      <c r="B1" s="65" t="s">
        <v>25</v>
      </c>
      <c r="C1" s="65" t="s">
        <v>26</v>
      </c>
      <c r="D1" s="66" t="s">
        <v>27</v>
      </c>
      <c r="E1" s="66" t="s">
        <v>28</v>
      </c>
      <c r="F1" s="66" t="s">
        <v>29</v>
      </c>
      <c r="G1" s="66" t="s">
        <v>30</v>
      </c>
      <c r="H1" s="66" t="s">
        <v>31</v>
      </c>
      <c r="I1" s="66" t="s">
        <v>32</v>
      </c>
      <c r="J1" s="66" t="s">
        <v>33</v>
      </c>
      <c r="K1" s="66" t="s">
        <v>34</v>
      </c>
      <c r="L1" s="66" t="s">
        <v>35</v>
      </c>
      <c r="M1" s="66" t="s">
        <v>36</v>
      </c>
      <c r="N1" s="66" t="s">
        <v>37</v>
      </c>
      <c r="O1" s="66" t="s">
        <v>38</v>
      </c>
      <c r="P1" s="66" t="s">
        <v>39</v>
      </c>
      <c r="Q1" s="66" t="s">
        <v>40</v>
      </c>
      <c r="R1" s="66" t="s">
        <v>41</v>
      </c>
      <c r="S1" s="66" t="s">
        <v>42</v>
      </c>
      <c r="T1" s="66" t="s">
        <v>43</v>
      </c>
      <c r="U1" s="66" t="s">
        <v>44</v>
      </c>
      <c r="V1" s="66" t="s">
        <v>45</v>
      </c>
      <c r="W1" s="66" t="s">
        <v>46</v>
      </c>
      <c r="X1" s="66" t="s">
        <v>47</v>
      </c>
    </row>
    <row r="2" s="64" customFormat="1" hidden="1" customHeight="1" spans="1:24">
      <c r="A2" s="64" t="s">
        <v>48</v>
      </c>
      <c r="B2" s="64" t="s">
        <v>49</v>
      </c>
      <c r="C2" s="64" t="s">
        <v>50</v>
      </c>
      <c r="D2" s="64" t="s">
        <v>51</v>
      </c>
      <c r="E2" s="64" t="s">
        <v>52</v>
      </c>
      <c r="F2" s="64" t="s">
        <v>53</v>
      </c>
      <c r="G2" s="64" t="s">
        <v>53</v>
      </c>
      <c r="H2" s="64"/>
      <c r="K2" s="64" t="s">
        <v>54</v>
      </c>
      <c r="L2" s="64">
        <v>13</v>
      </c>
      <c r="M2" s="64" t="s">
        <v>49</v>
      </c>
      <c r="N2" s="64" t="s">
        <v>55</v>
      </c>
      <c r="O2" s="64" t="s">
        <v>49</v>
      </c>
      <c r="P2" s="64" t="s">
        <v>56</v>
      </c>
      <c r="Q2" s="64" t="s">
        <v>55</v>
      </c>
      <c r="R2" s="64" t="s">
        <v>53</v>
      </c>
      <c r="S2" s="64" t="s">
        <v>57</v>
      </c>
      <c r="T2" s="64" t="s">
        <v>57</v>
      </c>
    </row>
    <row r="3" s="64" customFormat="1" hidden="1" customHeight="1" spans="1:24">
      <c r="A3" s="64" t="s">
        <v>48</v>
      </c>
      <c r="B3" s="64" t="s">
        <v>58</v>
      </c>
      <c r="C3" s="64" t="s">
        <v>59</v>
      </c>
      <c r="D3" s="64" t="s">
        <v>60</v>
      </c>
      <c r="E3" s="64"/>
      <c r="F3" s="64" t="s">
        <v>61</v>
      </c>
      <c r="G3" s="64" t="s">
        <v>61</v>
      </c>
      <c r="H3" s="64"/>
      <c r="K3" s="71" t="s">
        <v>62</v>
      </c>
      <c r="L3" s="64">
        <v>13</v>
      </c>
      <c r="M3" s="64" t="s">
        <v>58</v>
      </c>
      <c r="N3" s="64" t="s">
        <v>63</v>
      </c>
      <c r="O3" s="64" t="s">
        <v>58</v>
      </c>
      <c r="P3" s="71" t="s">
        <v>64</v>
      </c>
      <c r="Q3" s="64" t="s">
        <v>63</v>
      </c>
      <c r="R3" s="64" t="s">
        <v>61</v>
      </c>
      <c r="S3" s="64" t="s">
        <v>65</v>
      </c>
      <c r="T3" s="64" t="s">
        <v>65</v>
      </c>
    </row>
    <row r="4" s="64" customFormat="1" hidden="1" customHeight="1" spans="1:24">
      <c r="A4" s="64" t="s">
        <v>48</v>
      </c>
      <c r="B4" s="64" t="s">
        <v>66</v>
      </c>
      <c r="C4" s="64" t="s">
        <v>67</v>
      </c>
      <c r="D4" s="64" t="s">
        <v>68</v>
      </c>
      <c r="E4" s="64"/>
      <c r="F4" s="64" t="s">
        <v>69</v>
      </c>
      <c r="G4" s="64" t="s">
        <v>69</v>
      </c>
      <c r="H4" s="64"/>
      <c r="K4" s="64" t="s">
        <v>70</v>
      </c>
      <c r="L4" s="64">
        <v>13</v>
      </c>
      <c r="M4" s="64" t="s">
        <v>66</v>
      </c>
      <c r="N4" s="64" t="s">
        <v>71</v>
      </c>
      <c r="O4" s="64" t="s">
        <v>66</v>
      </c>
      <c r="P4" s="71" t="s">
        <v>72</v>
      </c>
      <c r="Q4" s="64" t="s">
        <v>71</v>
      </c>
      <c r="R4" s="64" t="s">
        <v>69</v>
      </c>
      <c r="S4" s="64" t="s">
        <v>73</v>
      </c>
      <c r="T4" s="64" t="s">
        <v>73</v>
      </c>
    </row>
    <row r="5" s="64" customFormat="1" hidden="1" customHeight="1" spans="1:24">
      <c r="A5" s="64" t="s">
        <v>48</v>
      </c>
      <c r="B5" s="64" t="s">
        <v>74</v>
      </c>
      <c r="C5" s="64" t="s">
        <v>75</v>
      </c>
      <c r="D5" s="64" t="s">
        <v>76</v>
      </c>
      <c r="E5" s="64" t="s">
        <v>77</v>
      </c>
      <c r="F5" s="64"/>
      <c r="K5" s="64" t="s">
        <v>78</v>
      </c>
      <c r="L5" s="64">
        <v>13</v>
      </c>
      <c r="M5" s="64" t="s">
        <v>74</v>
      </c>
      <c r="N5" s="64" t="s">
        <v>79</v>
      </c>
      <c r="O5" s="64" t="s">
        <v>74</v>
      </c>
      <c r="P5" s="71" t="s">
        <v>80</v>
      </c>
      <c r="Q5" s="64" t="s">
        <v>79</v>
      </c>
      <c r="S5" s="64" t="s">
        <v>81</v>
      </c>
      <c r="T5" s="64" t="s">
        <v>81</v>
      </c>
    </row>
    <row r="6" s="64" customFormat="1" hidden="1" customHeight="1" spans="1:24">
      <c r="A6" s="64" t="s">
        <v>48</v>
      </c>
      <c r="B6" s="64" t="s">
        <v>82</v>
      </c>
      <c r="C6" s="64" t="s">
        <v>83</v>
      </c>
      <c r="D6" s="64" t="s">
        <v>84</v>
      </c>
      <c r="E6" s="64" t="s">
        <v>85</v>
      </c>
      <c r="F6" s="64" t="s">
        <v>86</v>
      </c>
      <c r="G6" s="64" t="s">
        <v>86</v>
      </c>
      <c r="H6" s="64"/>
      <c r="K6" s="64" t="s">
        <v>87</v>
      </c>
      <c r="L6" s="64">
        <v>13</v>
      </c>
      <c r="M6" s="64" t="s">
        <v>82</v>
      </c>
      <c r="N6" s="64" t="s">
        <v>88</v>
      </c>
      <c r="O6" s="64" t="s">
        <v>82</v>
      </c>
      <c r="P6" s="71" t="s">
        <v>89</v>
      </c>
      <c r="Q6" s="64" t="s">
        <v>88</v>
      </c>
      <c r="R6" s="64" t="s">
        <v>90</v>
      </c>
      <c r="S6" s="64" t="s">
        <v>91</v>
      </c>
      <c r="T6" s="64" t="s">
        <v>91</v>
      </c>
    </row>
    <row r="7" s="64" customFormat="1" hidden="1" customHeight="1" spans="1:24">
      <c r="A7" s="64" t="s">
        <v>48</v>
      </c>
      <c r="B7" s="64" t="s">
        <v>92</v>
      </c>
      <c r="C7" s="64" t="s">
        <v>93</v>
      </c>
      <c r="D7" s="64" t="s">
        <v>94</v>
      </c>
      <c r="E7" s="64" t="s">
        <v>95</v>
      </c>
      <c r="F7" s="64">
        <v>19332938773</v>
      </c>
      <c r="G7" s="64">
        <v>19332938773</v>
      </c>
      <c r="H7" s="64" t="s">
        <v>96</v>
      </c>
      <c r="J7" s="64" t="s">
        <v>97</v>
      </c>
      <c r="K7" s="64" t="s">
        <v>98</v>
      </c>
      <c r="L7" s="64">
        <v>13</v>
      </c>
      <c r="M7" s="64" t="s">
        <v>92</v>
      </c>
      <c r="N7" s="64" t="s">
        <v>99</v>
      </c>
      <c r="O7" s="64" t="s">
        <v>92</v>
      </c>
      <c r="P7" s="71" t="s">
        <v>100</v>
      </c>
      <c r="Q7" s="64" t="s">
        <v>101</v>
      </c>
      <c r="R7" s="64" t="s">
        <v>95</v>
      </c>
      <c r="S7" s="64" t="s">
        <v>102</v>
      </c>
      <c r="T7" s="64" t="s">
        <v>102</v>
      </c>
      <c r="U7" s="64" t="s">
        <v>103</v>
      </c>
      <c r="V7" s="64" t="s">
        <v>104</v>
      </c>
      <c r="W7" s="64" t="s">
        <v>105</v>
      </c>
    </row>
    <row r="8" hidden="1" customHeight="1" spans="1:24">
      <c r="A8" s="44" t="s">
        <v>48</v>
      </c>
      <c r="B8" s="44" t="s">
        <v>106</v>
      </c>
      <c r="C8" s="64" t="s">
        <v>107</v>
      </c>
      <c r="D8" s="44" t="s">
        <v>108</v>
      </c>
      <c r="E8" s="44" t="s">
        <v>109</v>
      </c>
      <c r="F8" s="44" t="s">
        <v>110</v>
      </c>
      <c r="G8" s="44" t="s">
        <v>111</v>
      </c>
      <c r="H8" s="44" t="s">
        <v>112</v>
      </c>
      <c r="K8" s="44" t="s">
        <v>113</v>
      </c>
      <c r="L8" s="44" t="s">
        <v>114</v>
      </c>
      <c r="M8" s="44" t="s">
        <v>106</v>
      </c>
      <c r="N8" s="44" t="s">
        <v>115</v>
      </c>
      <c r="O8" s="44" t="s">
        <v>106</v>
      </c>
      <c r="P8" s="44" t="s">
        <v>116</v>
      </c>
      <c r="T8" s="44" t="s">
        <v>117</v>
      </c>
      <c r="U8" s="44" t="s">
        <v>118</v>
      </c>
      <c r="W8" s="44" t="s">
        <v>119</v>
      </c>
      <c r="X8" s="44" t="s">
        <v>120</v>
      </c>
    </row>
    <row r="9" hidden="1" customHeight="1" spans="1:24">
      <c r="A9" s="44" t="s">
        <v>48</v>
      </c>
      <c r="B9" s="44" t="s">
        <v>121</v>
      </c>
      <c r="C9" s="64" t="s">
        <v>122</v>
      </c>
      <c r="D9" s="44" t="s">
        <v>123</v>
      </c>
      <c r="E9" s="44" t="s">
        <v>124</v>
      </c>
      <c r="F9" s="44" t="s">
        <v>125</v>
      </c>
      <c r="G9" s="44" t="s">
        <v>126</v>
      </c>
      <c r="H9" s="44" t="s">
        <v>127</v>
      </c>
      <c r="K9" s="44" t="s">
        <v>128</v>
      </c>
      <c r="L9" s="44" t="s">
        <v>114</v>
      </c>
      <c r="M9" s="44" t="s">
        <v>121</v>
      </c>
      <c r="N9" s="44" t="s">
        <v>129</v>
      </c>
      <c r="O9" s="44" t="s">
        <v>121</v>
      </c>
      <c r="P9" s="44" t="s">
        <v>130</v>
      </c>
      <c r="T9" s="44" t="s">
        <v>131</v>
      </c>
      <c r="U9" s="44" t="s">
        <v>132</v>
      </c>
      <c r="V9" s="44" t="s">
        <v>124</v>
      </c>
      <c r="W9" s="44" t="s">
        <v>119</v>
      </c>
      <c r="X9" s="44" t="s">
        <v>133</v>
      </c>
    </row>
    <row r="10" hidden="1" customHeight="1" spans="1:24">
      <c r="A10" s="44" t="s">
        <v>48</v>
      </c>
      <c r="B10" s="44" t="s">
        <v>134</v>
      </c>
      <c r="C10" s="64" t="s">
        <v>135</v>
      </c>
      <c r="D10" s="44" t="s">
        <v>136</v>
      </c>
      <c r="E10" s="44" t="s">
        <v>137</v>
      </c>
      <c r="F10" s="44" t="s">
        <v>138</v>
      </c>
      <c r="G10" s="44" t="s">
        <v>139</v>
      </c>
      <c r="H10" s="44" t="s">
        <v>140</v>
      </c>
      <c r="K10" s="44" t="s">
        <v>141</v>
      </c>
      <c r="L10" s="44" t="s">
        <v>114</v>
      </c>
      <c r="M10" s="44" t="s">
        <v>134</v>
      </c>
      <c r="N10" s="44" t="s">
        <v>142</v>
      </c>
      <c r="O10" s="44" t="s">
        <v>134</v>
      </c>
      <c r="T10" s="44" t="s">
        <v>143</v>
      </c>
      <c r="U10" s="44" t="s">
        <v>144</v>
      </c>
      <c r="W10" s="44" t="s">
        <v>119</v>
      </c>
      <c r="X10" s="44" t="s">
        <v>145</v>
      </c>
    </row>
    <row r="11" customHeight="1" spans="1:24">
      <c r="A11" s="44" t="s">
        <v>48</v>
      </c>
      <c r="B11" s="44" t="s">
        <v>146</v>
      </c>
      <c r="C11" s="64" t="s">
        <v>147</v>
      </c>
      <c r="D11" s="44" t="s">
        <v>148</v>
      </c>
      <c r="F11" s="44" t="s">
        <v>149</v>
      </c>
      <c r="G11" s="44" t="s">
        <v>150</v>
      </c>
      <c r="H11" s="44" t="s">
        <v>151</v>
      </c>
      <c r="K11" s="44" t="s">
        <v>152</v>
      </c>
      <c r="L11" s="44" t="s">
        <v>114</v>
      </c>
      <c r="M11" s="44" t="s">
        <v>146</v>
      </c>
      <c r="N11" s="44" t="s">
        <v>153</v>
      </c>
      <c r="O11" s="44" t="s">
        <v>146</v>
      </c>
      <c r="P11" s="44" t="s">
        <v>154</v>
      </c>
      <c r="T11" s="44" t="s">
        <v>155</v>
      </c>
      <c r="U11" s="44" t="s">
        <v>156</v>
      </c>
      <c r="W11" s="44" t="s">
        <v>119</v>
      </c>
      <c r="X11" s="44" t="s">
        <v>157</v>
      </c>
    </row>
    <row r="12" hidden="1" customHeight="1" spans="1:24">
      <c r="A12" s="44" t="s">
        <v>48</v>
      </c>
      <c r="B12" s="44" t="s">
        <v>158</v>
      </c>
      <c r="C12" s="64" t="s">
        <v>159</v>
      </c>
      <c r="D12" s="44" t="s">
        <v>160</v>
      </c>
      <c r="E12" s="44" t="s">
        <v>161</v>
      </c>
      <c r="G12" s="44" t="s">
        <v>162</v>
      </c>
      <c r="H12" s="44" t="s">
        <v>163</v>
      </c>
      <c r="K12" s="44" t="s">
        <v>164</v>
      </c>
      <c r="L12" s="44" t="s">
        <v>114</v>
      </c>
      <c r="M12" s="44" t="s">
        <v>158</v>
      </c>
      <c r="N12" s="44" t="s">
        <v>165</v>
      </c>
      <c r="O12" s="44" t="s">
        <v>158</v>
      </c>
      <c r="P12" s="44" t="s">
        <v>166</v>
      </c>
      <c r="T12" s="44" t="s">
        <v>167</v>
      </c>
      <c r="V12" s="44" t="s">
        <v>161</v>
      </c>
      <c r="W12" s="44" t="s">
        <v>119</v>
      </c>
      <c r="X12" s="44" t="s">
        <v>168</v>
      </c>
    </row>
    <row r="13" hidden="1" customHeight="1" spans="1:24">
      <c r="A13" s="44" t="s">
        <v>48</v>
      </c>
      <c r="B13" s="44" t="s">
        <v>169</v>
      </c>
      <c r="C13" s="64" t="s">
        <v>170</v>
      </c>
      <c r="D13" s="44" t="s">
        <v>171</v>
      </c>
      <c r="E13" s="44" t="s">
        <v>172</v>
      </c>
      <c r="G13" s="44" t="s">
        <v>173</v>
      </c>
      <c r="K13" s="44" t="s">
        <v>174</v>
      </c>
      <c r="L13" s="44" t="s">
        <v>114</v>
      </c>
      <c r="M13" s="44" t="s">
        <v>169</v>
      </c>
      <c r="O13" s="44" t="s">
        <v>169</v>
      </c>
      <c r="T13" s="44" t="s">
        <v>175</v>
      </c>
      <c r="W13" s="44" t="s">
        <v>119</v>
      </c>
      <c r="X13" s="44" t="s">
        <v>176</v>
      </c>
    </row>
    <row r="14" hidden="1" customHeight="1" spans="1:24">
      <c r="A14" s="44" t="s">
        <v>48</v>
      </c>
      <c r="B14" s="44" t="s">
        <v>177</v>
      </c>
      <c r="C14" s="64" t="s">
        <v>178</v>
      </c>
      <c r="D14" s="44" t="s">
        <v>179</v>
      </c>
      <c r="E14" s="44" t="s">
        <v>180</v>
      </c>
      <c r="G14" s="44" t="s">
        <v>181</v>
      </c>
      <c r="H14" s="44" t="s">
        <v>182</v>
      </c>
      <c r="K14" s="44" t="s">
        <v>183</v>
      </c>
      <c r="L14" s="44" t="s">
        <v>114</v>
      </c>
      <c r="M14" s="44" t="s">
        <v>177</v>
      </c>
      <c r="N14" s="44" t="s">
        <v>184</v>
      </c>
      <c r="O14" s="44" t="s">
        <v>177</v>
      </c>
      <c r="P14" s="44" t="s">
        <v>185</v>
      </c>
      <c r="T14" s="44" t="s">
        <v>186</v>
      </c>
      <c r="W14" s="44" t="s">
        <v>119</v>
      </c>
      <c r="X14" s="44" t="s">
        <v>187</v>
      </c>
    </row>
    <row r="15" hidden="1" customHeight="1" spans="1:24">
      <c r="A15" s="44" t="s">
        <v>48</v>
      </c>
      <c r="B15" s="44" t="s">
        <v>188</v>
      </c>
      <c r="C15" s="64" t="s">
        <v>189</v>
      </c>
      <c r="D15" s="44" t="s">
        <v>190</v>
      </c>
      <c r="G15" s="44" t="s">
        <v>191</v>
      </c>
      <c r="H15" s="44" t="s">
        <v>192</v>
      </c>
      <c r="K15" s="44" t="s">
        <v>193</v>
      </c>
      <c r="L15" s="44" t="s">
        <v>194</v>
      </c>
      <c r="M15" s="44" t="s">
        <v>188</v>
      </c>
      <c r="N15" s="44" t="s">
        <v>195</v>
      </c>
      <c r="O15" s="44" t="s">
        <v>188</v>
      </c>
      <c r="P15" s="44" t="s">
        <v>196</v>
      </c>
      <c r="T15" s="44" t="s">
        <v>197</v>
      </c>
      <c r="W15" s="44" t="s">
        <v>119</v>
      </c>
      <c r="X15" s="44" t="s">
        <v>198</v>
      </c>
    </row>
    <row r="16" hidden="1" customHeight="1" spans="1:24">
      <c r="A16" s="44" t="s">
        <v>48</v>
      </c>
      <c r="B16" s="44" t="s">
        <v>199</v>
      </c>
      <c r="C16" s="64" t="s">
        <v>200</v>
      </c>
      <c r="D16" s="44" t="s">
        <v>201</v>
      </c>
      <c r="E16" s="44" t="s">
        <v>202</v>
      </c>
      <c r="G16" s="44" t="s">
        <v>203</v>
      </c>
      <c r="H16" s="44" t="s">
        <v>204</v>
      </c>
      <c r="K16" s="44" t="s">
        <v>205</v>
      </c>
      <c r="L16" s="44" t="s">
        <v>114</v>
      </c>
      <c r="M16" s="44" t="s">
        <v>199</v>
      </c>
      <c r="N16" s="44" t="s">
        <v>206</v>
      </c>
      <c r="O16" s="44" t="s">
        <v>199</v>
      </c>
      <c r="T16" s="44" t="s">
        <v>207</v>
      </c>
      <c r="U16" s="44" t="s">
        <v>208</v>
      </c>
      <c r="W16" s="44" t="s">
        <v>119</v>
      </c>
      <c r="X16" s="44" t="s">
        <v>209</v>
      </c>
    </row>
    <row r="17" hidden="1" customHeight="1" spans="1:24">
      <c r="A17" s="44" t="s">
        <v>48</v>
      </c>
      <c r="B17" s="44" t="s">
        <v>210</v>
      </c>
      <c r="C17" s="64" t="s">
        <v>211</v>
      </c>
      <c r="D17" s="44" t="s">
        <v>212</v>
      </c>
      <c r="E17" s="44" t="s">
        <v>213</v>
      </c>
      <c r="F17" s="44" t="s">
        <v>214</v>
      </c>
      <c r="G17" s="44" t="s">
        <v>215</v>
      </c>
      <c r="K17" s="44" t="s">
        <v>216</v>
      </c>
      <c r="L17" s="44" t="s">
        <v>114</v>
      </c>
      <c r="M17" s="44" t="s">
        <v>210</v>
      </c>
      <c r="N17" s="44" t="s">
        <v>217</v>
      </c>
      <c r="O17" s="44" t="s">
        <v>210</v>
      </c>
      <c r="P17" s="44" t="s">
        <v>218</v>
      </c>
      <c r="T17" s="44" t="s">
        <v>219</v>
      </c>
      <c r="W17" s="44" t="s">
        <v>119</v>
      </c>
      <c r="X17" s="44" t="s">
        <v>220</v>
      </c>
    </row>
    <row r="18" hidden="1" customHeight="1" spans="1:24">
      <c r="A18" s="44" t="s">
        <v>48</v>
      </c>
      <c r="B18" s="44" t="s">
        <v>221</v>
      </c>
      <c r="C18" s="64" t="s">
        <v>222</v>
      </c>
      <c r="D18" s="44" t="s">
        <v>223</v>
      </c>
      <c r="E18" s="44" t="s">
        <v>224</v>
      </c>
      <c r="F18" s="44" t="s">
        <v>225</v>
      </c>
      <c r="G18" s="44" t="s">
        <v>226</v>
      </c>
      <c r="K18" s="44" t="s">
        <v>227</v>
      </c>
      <c r="L18" s="44" t="s">
        <v>228</v>
      </c>
      <c r="M18" s="44" t="s">
        <v>221</v>
      </c>
      <c r="N18" s="44" t="s">
        <v>229</v>
      </c>
      <c r="O18" s="44" t="s">
        <v>221</v>
      </c>
      <c r="P18" s="44" t="s">
        <v>230</v>
      </c>
      <c r="T18" s="44" t="s">
        <v>231</v>
      </c>
      <c r="U18" s="44" t="s">
        <v>224</v>
      </c>
      <c r="W18" s="44" t="s">
        <v>119</v>
      </c>
      <c r="X18" s="44" t="s">
        <v>232</v>
      </c>
    </row>
    <row r="19" hidden="1" customHeight="1" spans="1:24">
      <c r="A19" s="44" t="s">
        <v>48</v>
      </c>
      <c r="B19" s="44" t="s">
        <v>233</v>
      </c>
      <c r="C19" s="64" t="s">
        <v>234</v>
      </c>
      <c r="D19" s="44" t="s">
        <v>235</v>
      </c>
      <c r="G19" s="44" t="s">
        <v>236</v>
      </c>
      <c r="K19" s="44" t="s">
        <v>237</v>
      </c>
      <c r="M19" s="44" t="s">
        <v>233</v>
      </c>
      <c r="O19" s="44" t="s">
        <v>233</v>
      </c>
      <c r="T19" s="44" t="s">
        <v>238</v>
      </c>
      <c r="W19" s="44" t="s">
        <v>119</v>
      </c>
    </row>
    <row r="20" hidden="1" customHeight="1" spans="1:24">
      <c r="A20" s="44" t="s">
        <v>48</v>
      </c>
      <c r="B20" s="44" t="s">
        <v>239</v>
      </c>
      <c r="C20" s="64" t="s">
        <v>240</v>
      </c>
      <c r="D20" s="44" t="s">
        <v>241</v>
      </c>
      <c r="E20" s="44" t="s">
        <v>242</v>
      </c>
      <c r="F20" s="44" t="s">
        <v>243</v>
      </c>
      <c r="G20" s="44" t="s">
        <v>244</v>
      </c>
      <c r="K20" s="44" t="s">
        <v>245</v>
      </c>
      <c r="L20" s="44" t="s">
        <v>114</v>
      </c>
      <c r="M20" s="44" t="s">
        <v>239</v>
      </c>
      <c r="N20" s="44" t="s">
        <v>246</v>
      </c>
      <c r="O20" s="44" t="s">
        <v>239</v>
      </c>
      <c r="P20" s="44" t="s">
        <v>247</v>
      </c>
      <c r="T20" s="44" t="s">
        <v>248</v>
      </c>
      <c r="U20" s="44" t="s">
        <v>249</v>
      </c>
      <c r="W20" s="44" t="s">
        <v>119</v>
      </c>
      <c r="X20" s="44" t="s">
        <v>250</v>
      </c>
    </row>
    <row r="21" hidden="1" customHeight="1" spans="1:24">
      <c r="A21" s="44" t="s">
        <v>48</v>
      </c>
      <c r="B21" s="44" t="s">
        <v>251</v>
      </c>
      <c r="C21" s="64" t="s">
        <v>252</v>
      </c>
      <c r="D21" s="44" t="s">
        <v>253</v>
      </c>
      <c r="F21" s="44" t="s">
        <v>254</v>
      </c>
      <c r="K21" s="44" t="s">
        <v>255</v>
      </c>
      <c r="L21" s="44" t="s">
        <v>114</v>
      </c>
      <c r="M21" s="44" t="s">
        <v>251</v>
      </c>
      <c r="N21" s="44" t="s">
        <v>256</v>
      </c>
      <c r="O21" s="44" t="s">
        <v>251</v>
      </c>
      <c r="T21" s="44" t="s">
        <v>257</v>
      </c>
      <c r="U21" s="44" t="s">
        <v>258</v>
      </c>
      <c r="W21" s="44" t="s">
        <v>119</v>
      </c>
      <c r="X21" s="44" t="s">
        <v>259</v>
      </c>
    </row>
    <row r="22" hidden="1" customHeight="1" spans="1:24">
      <c r="A22" s="44" t="s">
        <v>48</v>
      </c>
      <c r="B22" s="44" t="s">
        <v>260</v>
      </c>
      <c r="C22" s="64" t="s">
        <v>261</v>
      </c>
      <c r="D22" s="44" t="s">
        <v>262</v>
      </c>
      <c r="E22" s="44" t="s">
        <v>263</v>
      </c>
      <c r="F22" s="44" t="s">
        <v>264</v>
      </c>
      <c r="G22" s="44" t="s">
        <v>265</v>
      </c>
      <c r="H22" s="44" t="s">
        <v>266</v>
      </c>
      <c r="K22" s="44" t="s">
        <v>267</v>
      </c>
      <c r="L22" s="44" t="s">
        <v>114</v>
      </c>
      <c r="M22" s="44" t="s">
        <v>260</v>
      </c>
      <c r="N22" s="44" t="s">
        <v>268</v>
      </c>
      <c r="O22" s="44" t="s">
        <v>260</v>
      </c>
      <c r="T22" s="44" t="s">
        <v>269</v>
      </c>
      <c r="U22" s="44" t="s">
        <v>270</v>
      </c>
      <c r="W22" s="44" t="s">
        <v>119</v>
      </c>
      <c r="X22" s="44" t="s">
        <v>271</v>
      </c>
    </row>
    <row r="23" hidden="1" customHeight="1" spans="1:24">
      <c r="A23" s="44" t="s">
        <v>48</v>
      </c>
      <c r="B23" s="44" t="s">
        <v>272</v>
      </c>
      <c r="C23" s="64" t="s">
        <v>273</v>
      </c>
      <c r="D23" s="44" t="s">
        <v>274</v>
      </c>
      <c r="G23" s="44" t="s">
        <v>275</v>
      </c>
      <c r="K23" s="44" t="s">
        <v>276</v>
      </c>
      <c r="M23" s="44" t="s">
        <v>272</v>
      </c>
      <c r="O23" s="44" t="s">
        <v>272</v>
      </c>
      <c r="P23" s="44" t="s">
        <v>277</v>
      </c>
      <c r="T23" s="44" t="s">
        <v>278</v>
      </c>
      <c r="W23" s="44" t="s">
        <v>119</v>
      </c>
      <c r="X23" s="44" t="s">
        <v>279</v>
      </c>
    </row>
    <row r="24" hidden="1" customHeight="1" spans="1:24">
      <c r="A24" s="44" t="s">
        <v>48</v>
      </c>
      <c r="B24" s="44" t="s">
        <v>280</v>
      </c>
      <c r="C24" s="64" t="s">
        <v>281</v>
      </c>
      <c r="D24" s="44" t="s">
        <v>282</v>
      </c>
      <c r="E24" s="44" t="s">
        <v>283</v>
      </c>
      <c r="F24" s="44" t="s">
        <v>284</v>
      </c>
      <c r="G24" s="44" t="s">
        <v>285</v>
      </c>
      <c r="H24" s="44" t="s">
        <v>286</v>
      </c>
      <c r="K24" s="44" t="s">
        <v>287</v>
      </c>
      <c r="L24" s="44" t="s">
        <v>114</v>
      </c>
      <c r="M24" s="44" t="s">
        <v>280</v>
      </c>
      <c r="N24" s="44" t="s">
        <v>288</v>
      </c>
      <c r="O24" s="44" t="s">
        <v>280</v>
      </c>
      <c r="P24" s="44" t="s">
        <v>289</v>
      </c>
      <c r="T24" s="44" t="s">
        <v>290</v>
      </c>
      <c r="U24" s="44" t="s">
        <v>291</v>
      </c>
      <c r="W24" s="44" t="s">
        <v>119</v>
      </c>
      <c r="X24" s="44" t="s">
        <v>292</v>
      </c>
    </row>
    <row r="25" hidden="1" customHeight="1" spans="1:24">
      <c r="A25" s="44" t="s">
        <v>48</v>
      </c>
      <c r="B25" s="44" t="s">
        <v>293</v>
      </c>
      <c r="C25" s="64" t="s">
        <v>294</v>
      </c>
      <c r="D25" s="44" t="s">
        <v>295</v>
      </c>
      <c r="F25" s="44" t="s">
        <v>296</v>
      </c>
      <c r="G25" s="44" t="s">
        <v>297</v>
      </c>
      <c r="K25" s="44" t="s">
        <v>298</v>
      </c>
      <c r="L25" s="44" t="s">
        <v>114</v>
      </c>
      <c r="M25" s="44" t="s">
        <v>293</v>
      </c>
      <c r="N25" s="44" t="s">
        <v>299</v>
      </c>
      <c r="O25" s="44" t="s">
        <v>293</v>
      </c>
      <c r="P25" s="44" t="s">
        <v>300</v>
      </c>
      <c r="T25" s="44" t="s">
        <v>301</v>
      </c>
      <c r="W25" s="44" t="s">
        <v>119</v>
      </c>
      <c r="X25" s="44" t="s">
        <v>302</v>
      </c>
    </row>
    <row r="26" hidden="1" customHeight="1" spans="1:24">
      <c r="A26" s="44" t="s">
        <v>48</v>
      </c>
      <c r="B26" s="44" t="s">
        <v>303</v>
      </c>
      <c r="C26" s="64" t="s">
        <v>304</v>
      </c>
      <c r="D26" s="44" t="s">
        <v>305</v>
      </c>
      <c r="E26" s="44" t="s">
        <v>306</v>
      </c>
      <c r="F26" s="44" t="s">
        <v>307</v>
      </c>
      <c r="G26" s="44" t="s">
        <v>308</v>
      </c>
      <c r="H26" s="44" t="s">
        <v>309</v>
      </c>
      <c r="K26" s="44" t="s">
        <v>310</v>
      </c>
      <c r="L26" s="44" t="s">
        <v>114</v>
      </c>
      <c r="M26" s="44" t="s">
        <v>303</v>
      </c>
      <c r="N26" s="44" t="s">
        <v>311</v>
      </c>
      <c r="O26" s="44" t="s">
        <v>303</v>
      </c>
      <c r="P26" s="44" t="s">
        <v>312</v>
      </c>
      <c r="T26" s="44" t="s">
        <v>313</v>
      </c>
      <c r="U26" s="44" t="s">
        <v>314</v>
      </c>
      <c r="V26" s="44" t="s">
        <v>315</v>
      </c>
      <c r="W26" s="44" t="s">
        <v>119</v>
      </c>
      <c r="X26" s="44" t="s">
        <v>316</v>
      </c>
    </row>
    <row r="27" hidden="1" customHeight="1" spans="1:24">
      <c r="A27" s="44" t="s">
        <v>48</v>
      </c>
      <c r="B27" s="44" t="s">
        <v>317</v>
      </c>
      <c r="C27" s="64" t="s">
        <v>318</v>
      </c>
      <c r="D27" s="44" t="s">
        <v>319</v>
      </c>
      <c r="E27" s="44" t="s">
        <v>320</v>
      </c>
      <c r="F27" s="44" t="s">
        <v>321</v>
      </c>
      <c r="G27" s="44" t="s">
        <v>322</v>
      </c>
      <c r="H27" s="44" t="s">
        <v>323</v>
      </c>
      <c r="K27" s="44" t="s">
        <v>324</v>
      </c>
      <c r="L27" s="44" t="s">
        <v>114</v>
      </c>
      <c r="M27" s="44" t="s">
        <v>317</v>
      </c>
      <c r="N27" s="44" t="s">
        <v>325</v>
      </c>
      <c r="O27" s="44" t="s">
        <v>317</v>
      </c>
      <c r="T27" s="44" t="s">
        <v>326</v>
      </c>
      <c r="W27" s="44" t="s">
        <v>119</v>
      </c>
      <c r="X27" s="44" t="s">
        <v>327</v>
      </c>
    </row>
    <row r="28" hidden="1" customHeight="1" spans="1:24">
      <c r="A28" s="44" t="s">
        <v>48</v>
      </c>
      <c r="B28" s="44" t="s">
        <v>328</v>
      </c>
      <c r="C28" s="64" t="s">
        <v>329</v>
      </c>
      <c r="D28" s="44" t="s">
        <v>330</v>
      </c>
      <c r="E28" s="44" t="s">
        <v>331</v>
      </c>
      <c r="F28" s="44" t="s">
        <v>332</v>
      </c>
      <c r="G28" s="44" t="s">
        <v>333</v>
      </c>
      <c r="H28" s="44" t="s">
        <v>334</v>
      </c>
      <c r="K28" s="44" t="s">
        <v>335</v>
      </c>
      <c r="L28" s="44" t="s">
        <v>114</v>
      </c>
      <c r="M28" s="44" t="s">
        <v>328</v>
      </c>
      <c r="N28" s="44" t="s">
        <v>336</v>
      </c>
      <c r="O28" s="44" t="s">
        <v>328</v>
      </c>
      <c r="P28" s="44" t="s">
        <v>337</v>
      </c>
      <c r="T28" s="44" t="s">
        <v>338</v>
      </c>
      <c r="U28" s="44" t="s">
        <v>339</v>
      </c>
      <c r="W28" s="44" t="s">
        <v>119</v>
      </c>
      <c r="X28" s="44" t="s">
        <v>340</v>
      </c>
    </row>
    <row r="29" hidden="1" customHeight="1" spans="1:24">
      <c r="A29" s="44" t="s">
        <v>48</v>
      </c>
      <c r="B29" s="44" t="s">
        <v>341</v>
      </c>
      <c r="C29" s="64" t="s">
        <v>342</v>
      </c>
      <c r="D29" s="44" t="s">
        <v>343</v>
      </c>
      <c r="F29" s="44" t="s">
        <v>344</v>
      </c>
      <c r="K29" s="44" t="s">
        <v>345</v>
      </c>
      <c r="L29" s="44" t="s">
        <v>114</v>
      </c>
      <c r="M29" s="44" t="s">
        <v>341</v>
      </c>
      <c r="N29" s="44" t="s">
        <v>346</v>
      </c>
      <c r="O29" s="44" t="s">
        <v>341</v>
      </c>
      <c r="P29" s="44" t="s">
        <v>347</v>
      </c>
      <c r="T29" s="44" t="s">
        <v>348</v>
      </c>
      <c r="U29" s="44" t="s">
        <v>349</v>
      </c>
      <c r="W29" s="44" t="s">
        <v>119</v>
      </c>
    </row>
    <row r="30" hidden="1" customHeight="1" spans="1:24">
      <c r="A30" s="44" t="s">
        <v>48</v>
      </c>
      <c r="B30" s="44" t="s">
        <v>350</v>
      </c>
      <c r="C30" s="64" t="s">
        <v>351</v>
      </c>
      <c r="D30" s="44" t="s">
        <v>352</v>
      </c>
      <c r="E30" s="44" t="s">
        <v>353</v>
      </c>
      <c r="F30" s="44" t="s">
        <v>354</v>
      </c>
      <c r="G30" s="44" t="s">
        <v>275</v>
      </c>
      <c r="K30" s="44" t="s">
        <v>355</v>
      </c>
      <c r="L30" s="44" t="s">
        <v>114</v>
      </c>
      <c r="M30" s="44" t="s">
        <v>350</v>
      </c>
      <c r="N30" s="44" t="s">
        <v>356</v>
      </c>
      <c r="O30" s="44" t="s">
        <v>350</v>
      </c>
      <c r="P30" s="44" t="s">
        <v>357</v>
      </c>
      <c r="T30" s="44" t="s">
        <v>358</v>
      </c>
      <c r="W30" s="44" t="s">
        <v>119</v>
      </c>
      <c r="X30" s="44" t="s">
        <v>359</v>
      </c>
    </row>
    <row r="31" hidden="1" customHeight="1" spans="1:24">
      <c r="A31" s="44" t="s">
        <v>48</v>
      </c>
      <c r="B31" s="44" t="s">
        <v>360</v>
      </c>
      <c r="C31" s="64" t="s">
        <v>361</v>
      </c>
      <c r="D31" s="44" t="s">
        <v>362</v>
      </c>
      <c r="E31" s="44" t="s">
        <v>363</v>
      </c>
      <c r="G31" s="44" t="s">
        <v>364</v>
      </c>
      <c r="H31" s="44" t="s">
        <v>365</v>
      </c>
      <c r="K31" s="44" t="s">
        <v>366</v>
      </c>
      <c r="L31" s="44" t="s">
        <v>367</v>
      </c>
      <c r="M31" s="44" t="s">
        <v>360</v>
      </c>
      <c r="N31" s="44" t="s">
        <v>368</v>
      </c>
      <c r="O31" s="44" t="s">
        <v>360</v>
      </c>
      <c r="T31" s="44" t="s">
        <v>369</v>
      </c>
      <c r="W31" s="44" t="s">
        <v>119</v>
      </c>
      <c r="X31" s="44" t="s">
        <v>370</v>
      </c>
    </row>
    <row r="32" customFormat="1" hidden="1" customHeight="1" spans="1:24">
      <c r="A32" s="44" t="s">
        <v>48</v>
      </c>
      <c r="B32" s="44" t="s">
        <v>371</v>
      </c>
      <c r="C32" s="44" t="s">
        <v>372</v>
      </c>
      <c r="D32" s="44" t="s">
        <v>373</v>
      </c>
      <c r="E32" s="44" t="s">
        <v>374</v>
      </c>
      <c r="F32" s="44"/>
      <c r="G32" s="44" t="s">
        <v>375</v>
      </c>
      <c r="H32" s="44" t="s">
        <v>376</v>
      </c>
      <c r="I32" s="44" t="s">
        <v>377</v>
      </c>
      <c r="J32" s="44" t="s">
        <v>378</v>
      </c>
      <c r="K32" s="44" t="s">
        <v>379</v>
      </c>
      <c r="L32" s="44">
        <v>0.13</v>
      </c>
      <c r="M32" s="44" t="s">
        <v>371</v>
      </c>
      <c r="N32" s="44" t="s">
        <v>380</v>
      </c>
      <c r="O32" s="44" t="s">
        <v>371</v>
      </c>
      <c r="P32" s="72" t="s">
        <v>381</v>
      </c>
      <c r="Q32" s="44" t="s">
        <v>380</v>
      </c>
      <c r="R32" s="44"/>
      <c r="S32" s="44"/>
      <c r="T32" s="44" t="s">
        <v>382</v>
      </c>
      <c r="U32" t="s">
        <v>383</v>
      </c>
      <c r="V32" t="s">
        <v>374</v>
      </c>
      <c r="W32" s="44" t="s">
        <v>384</v>
      </c>
      <c r="X32" s="44"/>
    </row>
    <row r="33" hidden="1" customHeight="1" spans="1:24">
      <c r="A33" s="44" t="s">
        <v>48</v>
      </c>
      <c r="B33" s="44" t="s">
        <v>385</v>
      </c>
      <c r="C33" s="64" t="s">
        <v>386</v>
      </c>
      <c r="D33" s="44" t="s">
        <v>387</v>
      </c>
      <c r="E33" s="44" t="s">
        <v>388</v>
      </c>
      <c r="F33" s="44" t="s">
        <v>389</v>
      </c>
      <c r="G33" s="44" t="s">
        <v>390</v>
      </c>
      <c r="H33" s="44" t="s">
        <v>391</v>
      </c>
      <c r="K33" s="44" t="s">
        <v>392</v>
      </c>
      <c r="L33" s="44" t="s">
        <v>114</v>
      </c>
      <c r="M33" s="44" t="s">
        <v>385</v>
      </c>
      <c r="N33" s="44" t="s">
        <v>393</v>
      </c>
      <c r="O33" s="44" t="s">
        <v>385</v>
      </c>
      <c r="T33" s="44" t="s">
        <v>394</v>
      </c>
      <c r="W33" s="44" t="s">
        <v>119</v>
      </c>
      <c r="X33" s="44" t="s">
        <v>395</v>
      </c>
    </row>
    <row r="34" hidden="1" customHeight="1" spans="1:24">
      <c r="A34" s="44" t="s">
        <v>48</v>
      </c>
      <c r="B34" s="44" t="s">
        <v>396</v>
      </c>
      <c r="C34" s="64" t="s">
        <v>397</v>
      </c>
      <c r="D34" s="44" t="s">
        <v>398</v>
      </c>
      <c r="K34" s="44" t="s">
        <v>399</v>
      </c>
      <c r="L34" s="44" t="s">
        <v>114</v>
      </c>
      <c r="M34" s="44" t="s">
        <v>396</v>
      </c>
      <c r="N34" s="44" t="s">
        <v>400</v>
      </c>
      <c r="O34" s="44" t="s">
        <v>396</v>
      </c>
      <c r="P34" s="44" t="s">
        <v>401</v>
      </c>
      <c r="T34" s="44" t="s">
        <v>402</v>
      </c>
      <c r="U34" s="44" t="s">
        <v>403</v>
      </c>
      <c r="W34" s="44" t="s">
        <v>119</v>
      </c>
    </row>
    <row r="35" hidden="1" customHeight="1" spans="1:24">
      <c r="A35" s="44" t="s">
        <v>48</v>
      </c>
      <c r="B35" s="44" t="s">
        <v>82</v>
      </c>
      <c r="C35" s="64" t="s">
        <v>404</v>
      </c>
      <c r="D35" s="44" t="s">
        <v>405</v>
      </c>
      <c r="G35" s="44" t="s">
        <v>406</v>
      </c>
      <c r="K35" s="44" t="s">
        <v>87</v>
      </c>
      <c r="M35" s="44" t="s">
        <v>82</v>
      </c>
      <c r="O35" s="44" t="s">
        <v>82</v>
      </c>
      <c r="P35" s="44" t="s">
        <v>407</v>
      </c>
      <c r="T35" s="44" t="s">
        <v>408</v>
      </c>
      <c r="W35" s="44" t="s">
        <v>119</v>
      </c>
      <c r="X35" s="44" t="s">
        <v>409</v>
      </c>
    </row>
    <row r="36" hidden="1" customHeight="1" spans="1:24">
      <c r="A36" s="44" t="s">
        <v>48</v>
      </c>
      <c r="B36" s="44" t="s">
        <v>410</v>
      </c>
      <c r="C36" s="64" t="s">
        <v>411</v>
      </c>
      <c r="D36" s="44" t="s">
        <v>412</v>
      </c>
      <c r="E36" s="44" t="s">
        <v>413</v>
      </c>
      <c r="G36" s="44" t="s">
        <v>414</v>
      </c>
      <c r="K36" s="44" t="s">
        <v>415</v>
      </c>
      <c r="L36" s="44" t="s">
        <v>114</v>
      </c>
      <c r="M36" s="44" t="s">
        <v>410</v>
      </c>
      <c r="N36" s="44" t="s">
        <v>416</v>
      </c>
      <c r="O36" s="44" t="s">
        <v>410</v>
      </c>
      <c r="P36" s="44" t="s">
        <v>417</v>
      </c>
      <c r="T36" s="44" t="s">
        <v>418</v>
      </c>
      <c r="U36" s="44" t="s">
        <v>419</v>
      </c>
      <c r="W36" s="44" t="s">
        <v>119</v>
      </c>
      <c r="X36" s="44" t="s">
        <v>420</v>
      </c>
    </row>
    <row r="37" hidden="1" customHeight="1" spans="1:24">
      <c r="A37" s="44" t="s">
        <v>48</v>
      </c>
      <c r="B37" s="44" t="s">
        <v>421</v>
      </c>
      <c r="C37" s="64" t="s">
        <v>422</v>
      </c>
      <c r="D37" s="44" t="s">
        <v>423</v>
      </c>
      <c r="K37" s="44" t="s">
        <v>424</v>
      </c>
      <c r="M37" s="44" t="s">
        <v>421</v>
      </c>
      <c r="O37" s="44" t="s">
        <v>421</v>
      </c>
      <c r="T37" s="44" t="s">
        <v>425</v>
      </c>
      <c r="W37" s="44" t="s">
        <v>119</v>
      </c>
      <c r="X37" s="44" t="s">
        <v>426</v>
      </c>
    </row>
    <row r="38" hidden="1" customHeight="1" spans="1:24">
      <c r="A38" s="44" t="s">
        <v>48</v>
      </c>
      <c r="B38" s="44" t="s">
        <v>427</v>
      </c>
      <c r="C38" s="64" t="s">
        <v>428</v>
      </c>
      <c r="D38" s="44" t="s">
        <v>429</v>
      </c>
      <c r="E38" s="44" t="s">
        <v>430</v>
      </c>
      <c r="G38" s="44" t="s">
        <v>431</v>
      </c>
      <c r="H38" s="44" t="s">
        <v>432</v>
      </c>
      <c r="K38" s="44" t="s">
        <v>433</v>
      </c>
      <c r="L38" s="44" t="s">
        <v>114</v>
      </c>
      <c r="M38" s="44" t="s">
        <v>427</v>
      </c>
      <c r="N38" s="44" t="s">
        <v>434</v>
      </c>
      <c r="O38" s="44" t="s">
        <v>427</v>
      </c>
      <c r="T38" s="44" t="s">
        <v>435</v>
      </c>
      <c r="U38" s="44" t="s">
        <v>436</v>
      </c>
      <c r="W38" s="44" t="s">
        <v>119</v>
      </c>
      <c r="X38" s="44" t="s">
        <v>437</v>
      </c>
    </row>
    <row r="39" hidden="1" customHeight="1" spans="1:24">
      <c r="A39" s="44" t="s">
        <v>48</v>
      </c>
      <c r="B39" s="44" t="s">
        <v>438</v>
      </c>
      <c r="C39" s="64" t="s">
        <v>439</v>
      </c>
      <c r="D39" s="44" t="s">
        <v>440</v>
      </c>
      <c r="E39" s="44" t="s">
        <v>109</v>
      </c>
      <c r="G39" s="44" t="s">
        <v>111</v>
      </c>
      <c r="H39" s="44" t="s">
        <v>112</v>
      </c>
      <c r="K39" s="44" t="s">
        <v>441</v>
      </c>
      <c r="L39" s="44" t="s">
        <v>114</v>
      </c>
      <c r="M39" s="44" t="s">
        <v>438</v>
      </c>
      <c r="O39" s="44" t="s">
        <v>438</v>
      </c>
      <c r="T39" s="44" t="s">
        <v>442</v>
      </c>
      <c r="U39" s="44" t="s">
        <v>443</v>
      </c>
      <c r="W39" s="44" t="s">
        <v>119</v>
      </c>
      <c r="X39" s="44" t="s">
        <v>444</v>
      </c>
    </row>
    <row r="40" hidden="1" customHeight="1" spans="1:24">
      <c r="A40" s="44" t="s">
        <v>48</v>
      </c>
      <c r="B40" s="44" t="s">
        <v>445</v>
      </c>
      <c r="C40" s="64" t="s">
        <v>446</v>
      </c>
      <c r="D40" s="44" t="s">
        <v>447</v>
      </c>
      <c r="F40" s="44" t="s">
        <v>448</v>
      </c>
      <c r="K40" s="44" t="s">
        <v>449</v>
      </c>
      <c r="L40" s="44" t="s">
        <v>114</v>
      </c>
      <c r="M40" s="44" t="s">
        <v>445</v>
      </c>
      <c r="N40" s="44" t="s">
        <v>450</v>
      </c>
      <c r="O40" s="44" t="s">
        <v>445</v>
      </c>
      <c r="P40" s="44" t="s">
        <v>451</v>
      </c>
      <c r="T40" s="44" t="s">
        <v>452</v>
      </c>
      <c r="W40" s="44" t="s">
        <v>119</v>
      </c>
      <c r="X40" s="44" t="s">
        <v>453</v>
      </c>
    </row>
    <row r="41" hidden="1" customHeight="1" spans="1:24">
      <c r="A41" s="44" t="s">
        <v>48</v>
      </c>
      <c r="B41" s="44" t="s">
        <v>454</v>
      </c>
      <c r="C41" s="64" t="s">
        <v>455</v>
      </c>
      <c r="D41" s="44" t="s">
        <v>456</v>
      </c>
      <c r="F41" s="44" t="s">
        <v>457</v>
      </c>
      <c r="G41" s="44" t="s">
        <v>458</v>
      </c>
      <c r="K41" s="44" t="s">
        <v>459</v>
      </c>
      <c r="L41" s="44" t="s">
        <v>114</v>
      </c>
      <c r="M41" s="44" t="s">
        <v>454</v>
      </c>
      <c r="N41" s="44" t="s">
        <v>460</v>
      </c>
      <c r="O41" s="44" t="s">
        <v>454</v>
      </c>
      <c r="P41" s="44" t="s">
        <v>461</v>
      </c>
      <c r="T41" s="44" t="s">
        <v>462</v>
      </c>
      <c r="W41" s="44" t="s">
        <v>119</v>
      </c>
      <c r="X41" s="44" t="s">
        <v>463</v>
      </c>
    </row>
    <row r="42" hidden="1" customHeight="1" spans="1:24">
      <c r="A42" s="44" t="s">
        <v>48</v>
      </c>
      <c r="B42" s="44" t="s">
        <v>464</v>
      </c>
      <c r="C42" s="64" t="s">
        <v>465</v>
      </c>
      <c r="D42" s="44" t="s">
        <v>466</v>
      </c>
      <c r="F42" s="44" t="s">
        <v>467</v>
      </c>
      <c r="G42" s="44" t="s">
        <v>468</v>
      </c>
      <c r="H42" s="44" t="s">
        <v>469</v>
      </c>
      <c r="K42" s="44" t="s">
        <v>470</v>
      </c>
      <c r="L42" s="44" t="s">
        <v>114</v>
      </c>
      <c r="M42" s="44" t="s">
        <v>464</v>
      </c>
      <c r="N42" s="44" t="s">
        <v>471</v>
      </c>
      <c r="O42" s="44" t="s">
        <v>464</v>
      </c>
      <c r="T42" s="44" t="s">
        <v>472</v>
      </c>
      <c r="W42" s="44" t="s">
        <v>119</v>
      </c>
      <c r="X42" s="44" t="s">
        <v>473</v>
      </c>
    </row>
    <row r="43" hidden="1" customHeight="1" spans="1:24">
      <c r="A43" s="44" t="s">
        <v>48</v>
      </c>
      <c r="B43" s="44" t="s">
        <v>474</v>
      </c>
      <c r="C43" s="64" t="s">
        <v>475</v>
      </c>
      <c r="D43" s="44" t="s">
        <v>476</v>
      </c>
      <c r="E43" s="44" t="s">
        <v>477</v>
      </c>
      <c r="H43" s="44" t="s">
        <v>478</v>
      </c>
      <c r="K43" s="44" t="s">
        <v>479</v>
      </c>
      <c r="L43" s="44" t="s">
        <v>114</v>
      </c>
      <c r="M43" s="44" t="s">
        <v>474</v>
      </c>
      <c r="O43" s="44" t="s">
        <v>474</v>
      </c>
      <c r="T43" s="44" t="s">
        <v>480</v>
      </c>
      <c r="W43" s="44" t="s">
        <v>119</v>
      </c>
      <c r="X43" s="44" t="s">
        <v>481</v>
      </c>
    </row>
    <row r="44" hidden="1" customHeight="1" spans="1:24">
      <c r="A44" s="44" t="s">
        <v>48</v>
      </c>
      <c r="B44" s="44" t="s">
        <v>482</v>
      </c>
      <c r="C44" s="64" t="s">
        <v>483</v>
      </c>
      <c r="D44" s="44" t="s">
        <v>484</v>
      </c>
      <c r="K44" s="44" t="s">
        <v>485</v>
      </c>
      <c r="L44" s="44" t="s">
        <v>114</v>
      </c>
      <c r="M44" s="44" t="s">
        <v>482</v>
      </c>
      <c r="O44" s="44" t="s">
        <v>482</v>
      </c>
      <c r="T44" s="44" t="s">
        <v>486</v>
      </c>
      <c r="W44" s="44" t="s">
        <v>119</v>
      </c>
    </row>
    <row r="45" hidden="1" customHeight="1" spans="1:24">
      <c r="A45" s="44" t="s">
        <v>48</v>
      </c>
      <c r="B45" s="44" t="s">
        <v>487</v>
      </c>
      <c r="C45" s="64" t="s">
        <v>488</v>
      </c>
      <c r="D45" s="44" t="s">
        <v>489</v>
      </c>
      <c r="G45" s="44" t="s">
        <v>490</v>
      </c>
      <c r="H45" s="44" t="s">
        <v>491</v>
      </c>
      <c r="K45" s="44" t="s">
        <v>492</v>
      </c>
      <c r="M45" s="44" t="s">
        <v>487</v>
      </c>
      <c r="O45" s="44" t="s">
        <v>487</v>
      </c>
      <c r="T45" s="44" t="s">
        <v>493</v>
      </c>
      <c r="W45" s="44" t="s">
        <v>119</v>
      </c>
      <c r="X45" s="44" t="s">
        <v>494</v>
      </c>
    </row>
    <row r="46" hidden="1" customHeight="1" spans="1:24">
      <c r="A46" s="44" t="s">
        <v>48</v>
      </c>
      <c r="B46" s="44" t="s">
        <v>495</v>
      </c>
      <c r="C46" s="64" t="s">
        <v>496</v>
      </c>
      <c r="D46" s="44" t="s">
        <v>497</v>
      </c>
      <c r="E46" s="44" t="s">
        <v>498</v>
      </c>
      <c r="F46" s="44" t="s">
        <v>499</v>
      </c>
      <c r="G46" s="44" t="s">
        <v>490</v>
      </c>
      <c r="H46" s="44" t="s">
        <v>491</v>
      </c>
      <c r="K46" s="44" t="s">
        <v>500</v>
      </c>
      <c r="L46" s="44" t="s">
        <v>114</v>
      </c>
      <c r="M46" s="44" t="s">
        <v>495</v>
      </c>
      <c r="N46" s="44" t="s">
        <v>501</v>
      </c>
      <c r="O46" s="44" t="s">
        <v>495</v>
      </c>
      <c r="P46" s="44" t="s">
        <v>502</v>
      </c>
      <c r="T46" s="44" t="s">
        <v>503</v>
      </c>
      <c r="W46" s="44" t="s">
        <v>119</v>
      </c>
      <c r="X46" s="44" t="s">
        <v>504</v>
      </c>
    </row>
    <row r="47" hidden="1" customHeight="1" spans="1:24">
      <c r="A47" s="44" t="s">
        <v>48</v>
      </c>
      <c r="B47" s="44" t="s">
        <v>505</v>
      </c>
      <c r="C47" s="64" t="s">
        <v>506</v>
      </c>
      <c r="D47" s="44" t="s">
        <v>507</v>
      </c>
      <c r="F47" s="44" t="s">
        <v>508</v>
      </c>
      <c r="G47" s="44" t="s">
        <v>509</v>
      </c>
      <c r="K47" s="44" t="s">
        <v>510</v>
      </c>
      <c r="L47" s="44" t="s">
        <v>114</v>
      </c>
      <c r="M47" s="44" t="s">
        <v>505</v>
      </c>
      <c r="N47" s="44" t="s">
        <v>511</v>
      </c>
      <c r="O47" s="44" t="s">
        <v>505</v>
      </c>
      <c r="P47" s="44" t="s">
        <v>512</v>
      </c>
      <c r="T47" s="44" t="s">
        <v>513</v>
      </c>
      <c r="U47" s="44" t="s">
        <v>514</v>
      </c>
      <c r="W47" s="44" t="s">
        <v>119</v>
      </c>
      <c r="X47" s="44" t="s">
        <v>515</v>
      </c>
    </row>
    <row r="48" hidden="1" customHeight="1" spans="1:24">
      <c r="A48" s="44" t="s">
        <v>48</v>
      </c>
      <c r="B48" s="44" t="s">
        <v>516</v>
      </c>
      <c r="C48" s="64" t="s">
        <v>517</v>
      </c>
      <c r="D48" s="44" t="s">
        <v>518</v>
      </c>
      <c r="E48" s="44" t="s">
        <v>519</v>
      </c>
      <c r="F48" s="44" t="s">
        <v>520</v>
      </c>
      <c r="G48" s="44" t="s">
        <v>521</v>
      </c>
      <c r="K48" s="44" t="s">
        <v>522</v>
      </c>
      <c r="L48" s="44" t="s">
        <v>114</v>
      </c>
      <c r="M48" s="44" t="s">
        <v>516</v>
      </c>
      <c r="N48" s="44" t="s">
        <v>523</v>
      </c>
      <c r="O48" s="44" t="s">
        <v>516</v>
      </c>
      <c r="P48" s="44" t="s">
        <v>524</v>
      </c>
      <c r="T48" s="44" t="s">
        <v>525</v>
      </c>
      <c r="U48" s="44" t="s">
        <v>526</v>
      </c>
      <c r="W48" s="44" t="s">
        <v>119</v>
      </c>
      <c r="X48" s="44" t="s">
        <v>527</v>
      </c>
    </row>
    <row r="49" hidden="1" customHeight="1" spans="1:24">
      <c r="A49" s="44" t="s">
        <v>48</v>
      </c>
      <c r="B49" s="44" t="s">
        <v>528</v>
      </c>
      <c r="C49" s="64" t="s">
        <v>529</v>
      </c>
      <c r="D49" s="44" t="s">
        <v>530</v>
      </c>
      <c r="K49" s="44" t="s">
        <v>531</v>
      </c>
      <c r="M49" s="44" t="s">
        <v>528</v>
      </c>
      <c r="O49" s="44" t="s">
        <v>528</v>
      </c>
      <c r="T49" s="44" t="s">
        <v>532</v>
      </c>
      <c r="W49" s="44" t="s">
        <v>119</v>
      </c>
      <c r="X49" s="44" t="s">
        <v>533</v>
      </c>
    </row>
    <row r="50" hidden="1" customHeight="1" spans="1:24">
      <c r="A50" s="44" t="s">
        <v>48</v>
      </c>
      <c r="B50" s="44" t="s">
        <v>534</v>
      </c>
      <c r="C50" s="64" t="s">
        <v>535</v>
      </c>
      <c r="D50" s="44" t="s">
        <v>536</v>
      </c>
      <c r="E50" s="44" t="s">
        <v>537</v>
      </c>
      <c r="G50" s="44" t="s">
        <v>538</v>
      </c>
      <c r="H50" s="44" t="s">
        <v>539</v>
      </c>
      <c r="K50" s="44" t="s">
        <v>540</v>
      </c>
      <c r="L50" s="44" t="s">
        <v>114</v>
      </c>
      <c r="M50" s="44" t="s">
        <v>534</v>
      </c>
      <c r="N50" s="44" t="s">
        <v>541</v>
      </c>
      <c r="O50" s="44" t="s">
        <v>534</v>
      </c>
      <c r="P50" s="44" t="s">
        <v>542</v>
      </c>
      <c r="T50" s="44" t="s">
        <v>543</v>
      </c>
      <c r="U50" s="44" t="s">
        <v>544</v>
      </c>
      <c r="W50" s="44" t="s">
        <v>119</v>
      </c>
      <c r="X50" s="44" t="s">
        <v>545</v>
      </c>
    </row>
    <row r="51" hidden="1" customHeight="1" spans="1:24">
      <c r="A51" s="44" t="s">
        <v>48</v>
      </c>
      <c r="B51" s="44" t="s">
        <v>546</v>
      </c>
      <c r="C51" s="64" t="s">
        <v>547</v>
      </c>
      <c r="D51" s="44" t="s">
        <v>548</v>
      </c>
      <c r="G51" s="44" t="s">
        <v>549</v>
      </c>
      <c r="K51" s="44" t="s">
        <v>550</v>
      </c>
      <c r="L51" s="44" t="s">
        <v>114</v>
      </c>
      <c r="M51" s="44" t="s">
        <v>546</v>
      </c>
      <c r="N51" s="44" t="s">
        <v>551</v>
      </c>
      <c r="O51" s="44" t="s">
        <v>546</v>
      </c>
      <c r="P51" s="44" t="s">
        <v>552</v>
      </c>
      <c r="T51" s="44" t="s">
        <v>553</v>
      </c>
      <c r="U51" s="44" t="s">
        <v>554</v>
      </c>
      <c r="W51" s="44" t="s">
        <v>119</v>
      </c>
      <c r="X51" s="44" t="s">
        <v>555</v>
      </c>
    </row>
    <row r="52" hidden="1" customHeight="1" spans="1:24">
      <c r="A52" s="44" t="s">
        <v>48</v>
      </c>
      <c r="B52" s="44" t="s">
        <v>556</v>
      </c>
      <c r="C52" s="64" t="s">
        <v>557</v>
      </c>
      <c r="D52" s="44" t="s">
        <v>558</v>
      </c>
      <c r="F52" s="44" t="s">
        <v>559</v>
      </c>
      <c r="K52" s="44" t="s">
        <v>560</v>
      </c>
      <c r="M52" s="44" t="s">
        <v>556</v>
      </c>
      <c r="N52" s="44" t="s">
        <v>561</v>
      </c>
      <c r="O52" s="44" t="s">
        <v>556</v>
      </c>
      <c r="T52" s="44" t="s">
        <v>562</v>
      </c>
      <c r="U52" s="44" t="s">
        <v>563</v>
      </c>
      <c r="W52" s="44" t="s">
        <v>119</v>
      </c>
      <c r="X52" s="44" t="s">
        <v>564</v>
      </c>
    </row>
    <row r="53" hidden="1" customHeight="1" spans="1:24">
      <c r="A53" s="44" t="s">
        <v>48</v>
      </c>
      <c r="B53" s="44" t="s">
        <v>565</v>
      </c>
      <c r="C53" s="64" t="s">
        <v>566</v>
      </c>
      <c r="D53" s="44" t="s">
        <v>567</v>
      </c>
      <c r="E53" s="44" t="s">
        <v>568</v>
      </c>
      <c r="G53" s="44" t="s">
        <v>569</v>
      </c>
      <c r="K53" s="44" t="s">
        <v>570</v>
      </c>
      <c r="L53" s="44" t="s">
        <v>114</v>
      </c>
      <c r="M53" s="44" t="s">
        <v>565</v>
      </c>
      <c r="N53" s="44" t="s">
        <v>571</v>
      </c>
      <c r="O53" s="44" t="s">
        <v>565</v>
      </c>
      <c r="P53" s="44" t="s">
        <v>572</v>
      </c>
      <c r="T53" s="44" t="s">
        <v>573</v>
      </c>
      <c r="W53" s="44" t="s">
        <v>119</v>
      </c>
      <c r="X53" s="44" t="s">
        <v>574</v>
      </c>
    </row>
    <row r="54" hidden="1" customHeight="1" spans="1:24">
      <c r="A54" s="44" t="s">
        <v>48</v>
      </c>
      <c r="B54" s="44" t="s">
        <v>575</v>
      </c>
      <c r="C54" s="64" t="s">
        <v>576</v>
      </c>
      <c r="D54" s="44" t="s">
        <v>577</v>
      </c>
      <c r="K54" s="44" t="s">
        <v>578</v>
      </c>
      <c r="M54" s="44" t="s">
        <v>575</v>
      </c>
      <c r="O54" s="44" t="s">
        <v>575</v>
      </c>
      <c r="T54" s="44" t="s">
        <v>579</v>
      </c>
      <c r="W54" s="44" t="s">
        <v>119</v>
      </c>
      <c r="X54" s="44" t="s">
        <v>580</v>
      </c>
    </row>
    <row r="55" hidden="1" customHeight="1" spans="1:24">
      <c r="A55" s="44" t="s">
        <v>48</v>
      </c>
      <c r="B55" s="44" t="s">
        <v>581</v>
      </c>
      <c r="C55" s="64" t="s">
        <v>582</v>
      </c>
      <c r="D55" s="44" t="s">
        <v>583</v>
      </c>
      <c r="E55" s="44" t="s">
        <v>584</v>
      </c>
      <c r="F55" s="44" t="s">
        <v>585</v>
      </c>
      <c r="G55" s="44" t="s">
        <v>586</v>
      </c>
      <c r="H55" s="44" t="s">
        <v>587</v>
      </c>
      <c r="K55" s="44" t="s">
        <v>588</v>
      </c>
      <c r="M55" s="44" t="s">
        <v>581</v>
      </c>
      <c r="O55" s="44" t="s">
        <v>581</v>
      </c>
      <c r="P55" s="44" t="s">
        <v>589</v>
      </c>
      <c r="T55" s="44" t="s">
        <v>590</v>
      </c>
      <c r="W55" s="44" t="s">
        <v>119</v>
      </c>
      <c r="X55" s="44" t="s">
        <v>591</v>
      </c>
    </row>
    <row r="56" hidden="1" customHeight="1" spans="1:24">
      <c r="A56" s="44" t="s">
        <v>48</v>
      </c>
      <c r="B56" s="44" t="s">
        <v>592</v>
      </c>
      <c r="C56" s="64" t="s">
        <v>593</v>
      </c>
      <c r="D56" s="44" t="s">
        <v>594</v>
      </c>
      <c r="E56" s="44" t="s">
        <v>595</v>
      </c>
      <c r="G56" s="44" t="s">
        <v>596</v>
      </c>
      <c r="H56" s="44" t="s">
        <v>597</v>
      </c>
      <c r="K56" s="44" t="s">
        <v>598</v>
      </c>
      <c r="L56" s="44" t="s">
        <v>194</v>
      </c>
      <c r="M56" s="44" t="s">
        <v>592</v>
      </c>
      <c r="N56" s="44" t="s">
        <v>599</v>
      </c>
      <c r="O56" s="44" t="s">
        <v>592</v>
      </c>
      <c r="P56" s="44" t="s">
        <v>600</v>
      </c>
      <c r="T56" s="44" t="s">
        <v>601</v>
      </c>
      <c r="U56" s="44" t="s">
        <v>595</v>
      </c>
      <c r="W56" s="44" t="s">
        <v>119</v>
      </c>
      <c r="X56" s="44" t="s">
        <v>602</v>
      </c>
    </row>
    <row r="57" hidden="1" customHeight="1" spans="1:24">
      <c r="A57" s="44" t="s">
        <v>48</v>
      </c>
      <c r="B57" s="44" t="s">
        <v>603</v>
      </c>
      <c r="C57" s="64" t="s">
        <v>604</v>
      </c>
      <c r="D57" s="44" t="s">
        <v>605</v>
      </c>
      <c r="E57" s="44" t="s">
        <v>606</v>
      </c>
      <c r="G57" s="44" t="s">
        <v>607</v>
      </c>
      <c r="K57" s="44" t="s">
        <v>608</v>
      </c>
      <c r="M57" s="44" t="s">
        <v>603</v>
      </c>
      <c r="N57" s="44" t="s">
        <v>609</v>
      </c>
      <c r="O57" s="44" t="s">
        <v>603</v>
      </c>
      <c r="T57" s="44" t="s">
        <v>610</v>
      </c>
      <c r="W57" s="44" t="s">
        <v>119</v>
      </c>
      <c r="X57" s="44" t="s">
        <v>611</v>
      </c>
    </row>
    <row r="58" hidden="1" customHeight="1" spans="1:24">
      <c r="A58" s="44" t="s">
        <v>48</v>
      </c>
      <c r="B58" s="44" t="s">
        <v>612</v>
      </c>
      <c r="C58" s="64" t="s">
        <v>613</v>
      </c>
      <c r="D58" s="44" t="s">
        <v>614</v>
      </c>
      <c r="K58" s="44" t="s">
        <v>615</v>
      </c>
      <c r="M58" s="44" t="s">
        <v>612</v>
      </c>
      <c r="N58" s="44" t="s">
        <v>616</v>
      </c>
      <c r="O58" s="44" t="s">
        <v>612</v>
      </c>
      <c r="P58" s="44" t="s">
        <v>617</v>
      </c>
      <c r="T58" s="44" t="s">
        <v>618</v>
      </c>
      <c r="W58" s="44" t="s">
        <v>119</v>
      </c>
      <c r="X58" s="44" t="s">
        <v>619</v>
      </c>
    </row>
    <row r="59" hidden="1" customHeight="1" spans="1:24">
      <c r="A59" s="44" t="s">
        <v>48</v>
      </c>
      <c r="B59" s="44" t="s">
        <v>620</v>
      </c>
      <c r="C59" s="64" t="s">
        <v>621</v>
      </c>
      <c r="D59" s="44" t="s">
        <v>622</v>
      </c>
      <c r="G59" s="44" t="s">
        <v>623</v>
      </c>
      <c r="H59" s="44" t="s">
        <v>624</v>
      </c>
      <c r="K59" s="44" t="s">
        <v>625</v>
      </c>
      <c r="L59" s="44" t="s">
        <v>114</v>
      </c>
      <c r="M59" s="44" t="s">
        <v>620</v>
      </c>
      <c r="O59" s="44" t="s">
        <v>620</v>
      </c>
      <c r="P59" s="44" t="s">
        <v>626</v>
      </c>
      <c r="T59" s="44" t="s">
        <v>627</v>
      </c>
      <c r="W59" s="44" t="s">
        <v>119</v>
      </c>
    </row>
    <row r="60" hidden="1" customHeight="1" spans="1:24">
      <c r="A60" s="44" t="s">
        <v>48</v>
      </c>
      <c r="B60" s="44" t="s">
        <v>628</v>
      </c>
      <c r="C60" s="64" t="s">
        <v>629</v>
      </c>
      <c r="D60" s="44" t="s">
        <v>630</v>
      </c>
      <c r="K60" s="44" t="s">
        <v>631</v>
      </c>
      <c r="M60" s="44" t="s">
        <v>628</v>
      </c>
      <c r="O60" s="44" t="s">
        <v>628</v>
      </c>
      <c r="P60" s="44" t="s">
        <v>632</v>
      </c>
      <c r="T60" s="44" t="s">
        <v>633</v>
      </c>
      <c r="W60" s="44" t="s">
        <v>119</v>
      </c>
      <c r="X60" s="44" t="s">
        <v>634</v>
      </c>
    </row>
    <row r="61" hidden="1" customHeight="1" spans="1:24">
      <c r="A61" s="44" t="s">
        <v>48</v>
      </c>
      <c r="B61" s="44" t="s">
        <v>635</v>
      </c>
      <c r="C61" s="64" t="s">
        <v>636</v>
      </c>
      <c r="D61" s="44" t="s">
        <v>637</v>
      </c>
      <c r="E61" s="44" t="s">
        <v>638</v>
      </c>
      <c r="H61" s="44" t="s">
        <v>639</v>
      </c>
      <c r="K61" s="44" t="s">
        <v>640</v>
      </c>
      <c r="L61" s="44" t="s">
        <v>194</v>
      </c>
      <c r="M61" s="44" t="s">
        <v>635</v>
      </c>
      <c r="N61" s="44" t="s">
        <v>641</v>
      </c>
      <c r="O61" s="44" t="s">
        <v>635</v>
      </c>
      <c r="P61" s="44" t="s">
        <v>642</v>
      </c>
      <c r="T61" s="44" t="s">
        <v>643</v>
      </c>
      <c r="W61" s="44" t="s">
        <v>119</v>
      </c>
      <c r="X61" s="44" t="s">
        <v>644</v>
      </c>
    </row>
    <row r="62" hidden="1" customHeight="1" spans="1:24">
      <c r="A62" s="44" t="s">
        <v>48</v>
      </c>
      <c r="B62" s="44" t="s">
        <v>645</v>
      </c>
      <c r="C62" s="64" t="s">
        <v>646</v>
      </c>
      <c r="D62" s="44" t="s">
        <v>647</v>
      </c>
      <c r="K62" s="44" t="s">
        <v>648</v>
      </c>
      <c r="L62" s="44" t="s">
        <v>114</v>
      </c>
      <c r="M62" s="44" t="s">
        <v>645</v>
      </c>
      <c r="O62" s="44" t="s">
        <v>645</v>
      </c>
      <c r="T62" s="44" t="s">
        <v>649</v>
      </c>
      <c r="W62" s="44" t="s">
        <v>119</v>
      </c>
      <c r="X62" s="44" t="s">
        <v>650</v>
      </c>
    </row>
    <row r="63" hidden="1" customHeight="1" spans="1:24">
      <c r="A63" s="44" t="s">
        <v>48</v>
      </c>
      <c r="B63" s="44" t="s">
        <v>651</v>
      </c>
      <c r="C63" s="64" t="s">
        <v>652</v>
      </c>
      <c r="D63" s="44" t="s">
        <v>653</v>
      </c>
      <c r="E63" s="44" t="s">
        <v>654</v>
      </c>
      <c r="K63" s="44" t="s">
        <v>655</v>
      </c>
      <c r="L63" s="44" t="s">
        <v>114</v>
      </c>
      <c r="M63" s="44" t="s">
        <v>651</v>
      </c>
      <c r="N63" s="44" t="s">
        <v>656</v>
      </c>
      <c r="O63" s="44" t="s">
        <v>651</v>
      </c>
      <c r="P63" s="44" t="s">
        <v>657</v>
      </c>
      <c r="T63" s="44" t="s">
        <v>658</v>
      </c>
      <c r="U63" s="44" t="s">
        <v>659</v>
      </c>
      <c r="W63" s="44" t="s">
        <v>119</v>
      </c>
      <c r="X63" s="44" t="s">
        <v>660</v>
      </c>
    </row>
    <row r="64" hidden="1" customHeight="1" spans="1:24">
      <c r="A64" s="44" t="s">
        <v>48</v>
      </c>
      <c r="B64" s="44" t="s">
        <v>661</v>
      </c>
      <c r="C64" s="64" t="s">
        <v>662</v>
      </c>
      <c r="D64" s="44" t="s">
        <v>663</v>
      </c>
      <c r="F64" s="44" t="s">
        <v>664</v>
      </c>
      <c r="G64" s="44" t="s">
        <v>665</v>
      </c>
      <c r="K64" s="44" t="s">
        <v>666</v>
      </c>
      <c r="L64" s="44" t="s">
        <v>114</v>
      </c>
      <c r="M64" s="44" t="s">
        <v>661</v>
      </c>
      <c r="N64" s="44" t="s">
        <v>667</v>
      </c>
      <c r="O64" s="44" t="s">
        <v>661</v>
      </c>
      <c r="P64" s="44" t="s">
        <v>668</v>
      </c>
      <c r="T64" s="44" t="s">
        <v>669</v>
      </c>
      <c r="W64" s="44" t="s">
        <v>119</v>
      </c>
      <c r="X64" s="44" t="s">
        <v>670</v>
      </c>
    </row>
    <row r="65" hidden="1" customHeight="1" spans="1:24">
      <c r="A65" s="44" t="s">
        <v>48</v>
      </c>
      <c r="B65" s="44" t="s">
        <v>671</v>
      </c>
      <c r="C65" s="64" t="s">
        <v>672</v>
      </c>
      <c r="D65" s="44" t="s">
        <v>673</v>
      </c>
      <c r="F65" s="44" t="s">
        <v>674</v>
      </c>
      <c r="K65" s="44" t="s">
        <v>675</v>
      </c>
      <c r="M65" s="44" t="s">
        <v>671</v>
      </c>
      <c r="O65" s="44" t="s">
        <v>671</v>
      </c>
      <c r="T65" s="44" t="s">
        <v>676</v>
      </c>
      <c r="U65" s="44" t="s">
        <v>677</v>
      </c>
      <c r="W65" s="44" t="s">
        <v>119</v>
      </c>
    </row>
    <row r="66" hidden="1" customHeight="1" spans="1:24">
      <c r="A66" s="44" t="s">
        <v>48</v>
      </c>
      <c r="B66" s="44" t="s">
        <v>678</v>
      </c>
      <c r="C66" s="64" t="s">
        <v>679</v>
      </c>
      <c r="D66" s="44" t="s">
        <v>680</v>
      </c>
      <c r="K66" s="44" t="s">
        <v>681</v>
      </c>
      <c r="L66" s="44" t="s">
        <v>114</v>
      </c>
      <c r="M66" s="44" t="s">
        <v>678</v>
      </c>
      <c r="N66" s="44" t="s">
        <v>682</v>
      </c>
      <c r="O66" s="44" t="s">
        <v>678</v>
      </c>
      <c r="P66" s="44" t="s">
        <v>683</v>
      </c>
      <c r="T66" s="44" t="s">
        <v>684</v>
      </c>
      <c r="W66" s="44" t="s">
        <v>119</v>
      </c>
      <c r="X66" s="44" t="s">
        <v>685</v>
      </c>
    </row>
    <row r="67" hidden="1" customHeight="1" spans="1:24">
      <c r="A67" s="44" t="s">
        <v>48</v>
      </c>
      <c r="B67" s="44" t="s">
        <v>686</v>
      </c>
      <c r="C67" s="64" t="s">
        <v>687</v>
      </c>
      <c r="D67" s="44" t="s">
        <v>688</v>
      </c>
      <c r="K67" s="44" t="s">
        <v>689</v>
      </c>
      <c r="M67" s="44" t="s">
        <v>686</v>
      </c>
      <c r="O67" s="44" t="s">
        <v>686</v>
      </c>
      <c r="T67" s="44" t="s">
        <v>690</v>
      </c>
      <c r="W67" s="44" t="s">
        <v>119</v>
      </c>
    </row>
    <row r="68" hidden="1" customHeight="1" spans="1:24">
      <c r="A68" s="44" t="s">
        <v>48</v>
      </c>
      <c r="B68" s="44" t="s">
        <v>691</v>
      </c>
      <c r="C68" s="64" t="s">
        <v>692</v>
      </c>
      <c r="D68" s="44" t="s">
        <v>693</v>
      </c>
      <c r="F68" s="44" t="s">
        <v>694</v>
      </c>
      <c r="G68" s="44" t="s">
        <v>695</v>
      </c>
      <c r="K68" s="44" t="s">
        <v>696</v>
      </c>
      <c r="L68" s="44" t="s">
        <v>114</v>
      </c>
      <c r="M68" s="44" t="s">
        <v>691</v>
      </c>
      <c r="N68" s="44" t="s">
        <v>697</v>
      </c>
      <c r="O68" s="44" t="s">
        <v>691</v>
      </c>
      <c r="T68" s="44" t="s">
        <v>698</v>
      </c>
      <c r="U68" s="44" t="s">
        <v>699</v>
      </c>
      <c r="V68" s="44" t="s">
        <v>700</v>
      </c>
      <c r="W68" s="44" t="s">
        <v>119</v>
      </c>
      <c r="X68" s="44" t="s">
        <v>701</v>
      </c>
    </row>
    <row r="69" hidden="1" customHeight="1" spans="1:24">
      <c r="A69" s="44" t="s">
        <v>48</v>
      </c>
      <c r="B69" s="44" t="s">
        <v>702</v>
      </c>
      <c r="C69" s="64" t="s">
        <v>703</v>
      </c>
      <c r="D69" s="44" t="s">
        <v>704</v>
      </c>
      <c r="K69" s="44" t="s">
        <v>705</v>
      </c>
      <c r="L69" s="44" t="s">
        <v>114</v>
      </c>
      <c r="M69" s="44" t="s">
        <v>702</v>
      </c>
      <c r="O69" s="44" t="s">
        <v>702</v>
      </c>
      <c r="T69" s="44" t="s">
        <v>706</v>
      </c>
      <c r="W69" s="44" t="s">
        <v>119</v>
      </c>
      <c r="X69" s="44" t="s">
        <v>707</v>
      </c>
    </row>
    <row r="70" hidden="1" customHeight="1" spans="1:24">
      <c r="A70" s="44" t="s">
        <v>48</v>
      </c>
      <c r="B70" s="44" t="s">
        <v>708</v>
      </c>
      <c r="C70" s="64" t="s">
        <v>709</v>
      </c>
      <c r="D70" s="44" t="s">
        <v>710</v>
      </c>
      <c r="K70" s="44" t="s">
        <v>711</v>
      </c>
      <c r="L70" s="44" t="s">
        <v>114</v>
      </c>
      <c r="M70" s="44" t="s">
        <v>708</v>
      </c>
      <c r="O70" s="44" t="s">
        <v>708</v>
      </c>
      <c r="T70" s="44" t="s">
        <v>712</v>
      </c>
      <c r="W70" s="44" t="s">
        <v>119</v>
      </c>
    </row>
    <row r="71" hidden="1" customHeight="1" spans="1:24">
      <c r="A71" s="44" t="s">
        <v>48</v>
      </c>
      <c r="B71" s="44" t="s">
        <v>713</v>
      </c>
      <c r="C71" s="64" t="s">
        <v>714</v>
      </c>
      <c r="D71" s="44" t="s">
        <v>715</v>
      </c>
      <c r="K71" s="44" t="s">
        <v>237</v>
      </c>
      <c r="M71" s="44" t="s">
        <v>713</v>
      </c>
      <c r="O71" s="44" t="s">
        <v>713</v>
      </c>
      <c r="T71" s="44" t="s">
        <v>716</v>
      </c>
      <c r="W71" s="44" t="s">
        <v>119</v>
      </c>
    </row>
    <row r="72" hidden="1" customHeight="1" spans="1:24">
      <c r="A72" s="44" t="s">
        <v>48</v>
      </c>
      <c r="B72" s="44" t="s">
        <v>717</v>
      </c>
      <c r="C72" s="64" t="s">
        <v>718</v>
      </c>
      <c r="D72" s="44" t="s">
        <v>719</v>
      </c>
      <c r="F72" s="44" t="s">
        <v>720</v>
      </c>
      <c r="G72" s="44" t="s">
        <v>721</v>
      </c>
      <c r="K72" s="44" t="s">
        <v>722</v>
      </c>
      <c r="M72" s="44" t="s">
        <v>717</v>
      </c>
      <c r="N72" s="44" t="s">
        <v>723</v>
      </c>
      <c r="O72" s="44" t="s">
        <v>717</v>
      </c>
      <c r="P72" s="44" t="s">
        <v>724</v>
      </c>
      <c r="T72" s="44" t="s">
        <v>725</v>
      </c>
      <c r="W72" s="44" t="s">
        <v>384</v>
      </c>
      <c r="X72" s="44" t="s">
        <v>726</v>
      </c>
    </row>
    <row r="73" hidden="1" customHeight="1" spans="1:24">
      <c r="A73" s="44" t="s">
        <v>48</v>
      </c>
      <c r="B73" s="44" t="s">
        <v>727</v>
      </c>
      <c r="C73" s="64" t="s">
        <v>728</v>
      </c>
      <c r="D73" s="44" t="s">
        <v>729</v>
      </c>
      <c r="K73" s="44" t="s">
        <v>730</v>
      </c>
      <c r="M73" s="44" t="s">
        <v>727</v>
      </c>
      <c r="O73" s="44" t="s">
        <v>727</v>
      </c>
      <c r="T73" s="44" t="s">
        <v>731</v>
      </c>
      <c r="W73" s="44" t="s">
        <v>119</v>
      </c>
      <c r="X73" s="44" t="s">
        <v>732</v>
      </c>
    </row>
    <row r="74" hidden="1" customHeight="1" spans="1:24">
      <c r="A74" s="44" t="s">
        <v>48</v>
      </c>
      <c r="B74" s="44" t="s">
        <v>733</v>
      </c>
      <c r="C74" s="64" t="s">
        <v>734</v>
      </c>
      <c r="D74" s="44" t="s">
        <v>735</v>
      </c>
      <c r="E74" s="44" t="s">
        <v>736</v>
      </c>
      <c r="F74" s="44" t="s">
        <v>737</v>
      </c>
      <c r="G74" s="44" t="s">
        <v>738</v>
      </c>
      <c r="H74" s="44" t="s">
        <v>739</v>
      </c>
      <c r="K74" s="44" t="s">
        <v>740</v>
      </c>
      <c r="L74" s="44" t="s">
        <v>114</v>
      </c>
      <c r="M74" s="44" t="s">
        <v>733</v>
      </c>
      <c r="N74" s="44" t="s">
        <v>741</v>
      </c>
      <c r="O74" s="44" t="s">
        <v>733</v>
      </c>
      <c r="T74" s="44" t="s">
        <v>742</v>
      </c>
      <c r="U74" s="44" t="s">
        <v>743</v>
      </c>
      <c r="W74" s="44" t="s">
        <v>119</v>
      </c>
    </row>
    <row r="75" hidden="1" customHeight="1" spans="1:24">
      <c r="A75" s="44" t="s">
        <v>48</v>
      </c>
      <c r="B75" s="44" t="s">
        <v>92</v>
      </c>
      <c r="C75" s="64" t="s">
        <v>744</v>
      </c>
      <c r="D75" s="44" t="s">
        <v>745</v>
      </c>
      <c r="E75" s="44" t="s">
        <v>103</v>
      </c>
      <c r="F75" s="44" t="s">
        <v>95</v>
      </c>
      <c r="G75" s="44" t="s">
        <v>746</v>
      </c>
      <c r="H75" s="44" t="s">
        <v>96</v>
      </c>
      <c r="K75" s="44" t="s">
        <v>98</v>
      </c>
      <c r="L75" s="44" t="s">
        <v>114</v>
      </c>
      <c r="M75" s="44" t="s">
        <v>92</v>
      </c>
      <c r="N75" s="44" t="s">
        <v>63</v>
      </c>
      <c r="O75" s="44" t="s">
        <v>92</v>
      </c>
      <c r="P75" s="44" t="s">
        <v>100</v>
      </c>
      <c r="T75" s="44" t="s">
        <v>102</v>
      </c>
      <c r="U75" s="44" t="s">
        <v>103</v>
      </c>
      <c r="V75" s="44" t="s">
        <v>103</v>
      </c>
      <c r="W75" s="44" t="s">
        <v>119</v>
      </c>
      <c r="X75" s="44" t="s">
        <v>747</v>
      </c>
    </row>
    <row r="76" hidden="1" customHeight="1" spans="1:24">
      <c r="A76" s="44" t="s">
        <v>48</v>
      </c>
      <c r="B76" s="44" t="s">
        <v>748</v>
      </c>
      <c r="C76" s="64" t="s">
        <v>749</v>
      </c>
      <c r="D76" s="44" t="s">
        <v>750</v>
      </c>
      <c r="E76" s="44" t="s">
        <v>751</v>
      </c>
      <c r="G76" s="44" t="s">
        <v>752</v>
      </c>
      <c r="H76" s="44" t="s">
        <v>753</v>
      </c>
      <c r="K76" s="44" t="s">
        <v>754</v>
      </c>
      <c r="L76" s="44" t="s">
        <v>114</v>
      </c>
      <c r="M76" s="44" t="s">
        <v>748</v>
      </c>
      <c r="N76" s="44" t="s">
        <v>755</v>
      </c>
      <c r="O76" s="44" t="s">
        <v>748</v>
      </c>
      <c r="T76" s="44" t="s">
        <v>756</v>
      </c>
      <c r="U76" s="44" t="s">
        <v>757</v>
      </c>
      <c r="W76" s="44" t="s">
        <v>119</v>
      </c>
      <c r="X76" s="44" t="s">
        <v>758</v>
      </c>
    </row>
    <row r="77" hidden="1" customHeight="1" spans="1:24">
      <c r="A77" s="44" t="s">
        <v>48</v>
      </c>
      <c r="B77" s="44" t="s">
        <v>759</v>
      </c>
      <c r="C77" s="64" t="s">
        <v>760</v>
      </c>
      <c r="D77" s="44" t="s">
        <v>761</v>
      </c>
      <c r="K77" s="44" t="s">
        <v>762</v>
      </c>
      <c r="M77" s="44" t="s">
        <v>759</v>
      </c>
      <c r="O77" s="44" t="s">
        <v>759</v>
      </c>
      <c r="T77" s="44" t="s">
        <v>763</v>
      </c>
      <c r="W77" s="44" t="s">
        <v>119</v>
      </c>
    </row>
    <row r="78" hidden="1" customHeight="1" spans="1:24">
      <c r="A78" s="44" t="s">
        <v>48</v>
      </c>
      <c r="B78" s="44" t="s">
        <v>764</v>
      </c>
      <c r="C78" s="64" t="s">
        <v>765</v>
      </c>
      <c r="D78" s="44" t="s">
        <v>766</v>
      </c>
      <c r="K78" s="44" t="s">
        <v>237</v>
      </c>
      <c r="M78" s="44" t="s">
        <v>764</v>
      </c>
      <c r="O78" s="44" t="s">
        <v>764</v>
      </c>
      <c r="T78" s="44" t="s">
        <v>767</v>
      </c>
      <c r="W78" s="44" t="s">
        <v>119</v>
      </c>
    </row>
    <row r="79" hidden="1" customHeight="1" spans="1:24">
      <c r="A79" s="44" t="s">
        <v>48</v>
      </c>
      <c r="B79" s="44" t="s">
        <v>768</v>
      </c>
      <c r="C79" s="64" t="s">
        <v>769</v>
      </c>
      <c r="D79" s="44" t="s">
        <v>770</v>
      </c>
      <c r="F79" s="44" t="s">
        <v>771</v>
      </c>
      <c r="G79" s="44" t="s">
        <v>772</v>
      </c>
      <c r="K79" s="44" t="s">
        <v>773</v>
      </c>
      <c r="L79" s="44" t="s">
        <v>114</v>
      </c>
      <c r="M79" s="44" t="s">
        <v>768</v>
      </c>
      <c r="N79" s="44" t="s">
        <v>774</v>
      </c>
      <c r="O79" s="44" t="s">
        <v>768</v>
      </c>
      <c r="T79" s="44" t="s">
        <v>775</v>
      </c>
      <c r="U79" s="44" t="s">
        <v>776</v>
      </c>
      <c r="W79" s="44" t="s">
        <v>119</v>
      </c>
      <c r="X79" s="44" t="s">
        <v>777</v>
      </c>
    </row>
    <row r="80" hidden="1" customHeight="1" spans="1:24">
      <c r="A80" s="44" t="s">
        <v>778</v>
      </c>
      <c r="B80" s="44" t="s">
        <v>779</v>
      </c>
      <c r="C80" s="44" t="s">
        <v>780</v>
      </c>
      <c r="D80" s="44" t="s">
        <v>781</v>
      </c>
      <c r="K80" s="44" t="s">
        <v>782</v>
      </c>
      <c r="M80" s="44" t="s">
        <v>779</v>
      </c>
      <c r="O80" s="44" t="s">
        <v>779</v>
      </c>
      <c r="T80" s="44" t="s">
        <v>783</v>
      </c>
      <c r="W80" s="44" t="s">
        <v>119</v>
      </c>
      <c r="X80" s="44" t="s">
        <v>784</v>
      </c>
    </row>
    <row r="81" hidden="1" customHeight="1" spans="1:24">
      <c r="A81" s="44" t="s">
        <v>778</v>
      </c>
      <c r="B81" s="44" t="s">
        <v>785</v>
      </c>
      <c r="C81" s="44" t="s">
        <v>786</v>
      </c>
      <c r="D81" s="44" t="s">
        <v>787</v>
      </c>
      <c r="K81" s="44" t="s">
        <v>788</v>
      </c>
      <c r="L81" s="44" t="s">
        <v>114</v>
      </c>
      <c r="M81" s="44" t="s">
        <v>785</v>
      </c>
      <c r="O81" s="44" t="s">
        <v>785</v>
      </c>
      <c r="T81" s="44" t="s">
        <v>789</v>
      </c>
      <c r="W81" s="44" t="s">
        <v>119</v>
      </c>
      <c r="X81" s="44" t="s">
        <v>790</v>
      </c>
    </row>
    <row r="82" hidden="1" customHeight="1" spans="1:24">
      <c r="A82" s="44" t="s">
        <v>778</v>
      </c>
      <c r="B82" s="44" t="s">
        <v>791</v>
      </c>
      <c r="C82" s="44" t="s">
        <v>792</v>
      </c>
      <c r="D82" s="44" t="s">
        <v>793</v>
      </c>
      <c r="F82" s="44" t="s">
        <v>794</v>
      </c>
      <c r="K82" s="44" t="s">
        <v>795</v>
      </c>
      <c r="L82" s="44" t="s">
        <v>114</v>
      </c>
      <c r="M82" s="44" t="s">
        <v>791</v>
      </c>
      <c r="N82" s="44" t="s">
        <v>796</v>
      </c>
      <c r="O82" s="44" t="s">
        <v>791</v>
      </c>
      <c r="P82" s="44" t="s">
        <v>797</v>
      </c>
      <c r="T82" s="44" t="s">
        <v>798</v>
      </c>
      <c r="V82" s="44" t="s">
        <v>799</v>
      </c>
      <c r="W82" s="44" t="s">
        <v>119</v>
      </c>
      <c r="X82" s="44" t="s">
        <v>800</v>
      </c>
    </row>
    <row r="83" hidden="1" customHeight="1" spans="1:24">
      <c r="A83" s="44" t="s">
        <v>778</v>
      </c>
      <c r="B83" s="44" t="s">
        <v>801</v>
      </c>
      <c r="C83" s="44" t="s">
        <v>802</v>
      </c>
      <c r="D83" s="44" t="s">
        <v>803</v>
      </c>
      <c r="K83" s="44" t="s">
        <v>804</v>
      </c>
      <c r="L83" s="44" t="s">
        <v>114</v>
      </c>
      <c r="M83" s="44" t="s">
        <v>801</v>
      </c>
      <c r="N83" s="44" t="s">
        <v>805</v>
      </c>
      <c r="O83" s="44" t="s">
        <v>801</v>
      </c>
      <c r="P83" s="44" t="s">
        <v>806</v>
      </c>
      <c r="T83" s="44" t="s">
        <v>807</v>
      </c>
      <c r="W83" s="44" t="s">
        <v>119</v>
      </c>
    </row>
    <row r="84" customHeight="1" spans="1:24">
      <c r="A84" s="44" t="s">
        <v>48</v>
      </c>
      <c r="B84" s="44" t="s">
        <v>808</v>
      </c>
      <c r="C84" s="44" t="s">
        <v>809</v>
      </c>
      <c r="D84" s="44" t="s">
        <v>810</v>
      </c>
      <c r="E84" s="44" t="s">
        <v>811</v>
      </c>
      <c r="F84" s="44">
        <v>15854301966</v>
      </c>
      <c r="G84" s="44">
        <v>15854301966</v>
      </c>
      <c r="H84" s="44" t="s">
        <v>812</v>
      </c>
      <c r="I84" s="44" t="s">
        <v>377</v>
      </c>
      <c r="K84" s="44" t="s">
        <v>813</v>
      </c>
      <c r="L84" s="44">
        <v>0.13</v>
      </c>
      <c r="M84" s="44" t="s">
        <v>808</v>
      </c>
      <c r="N84" s="44" t="s">
        <v>814</v>
      </c>
      <c r="O84" s="44" t="s">
        <v>808</v>
      </c>
      <c r="P84" s="72" t="s">
        <v>815</v>
      </c>
      <c r="Q84" s="44" t="s">
        <v>816</v>
      </c>
      <c r="R84" s="44">
        <v>15854301966</v>
      </c>
      <c r="S84" s="44" t="s">
        <v>817</v>
      </c>
      <c r="T84" s="44" t="s">
        <v>817</v>
      </c>
      <c r="U84" s="44" t="s">
        <v>811</v>
      </c>
      <c r="V84" s="44" t="s">
        <v>811</v>
      </c>
      <c r="W84" s="44" t="s">
        <v>384</v>
      </c>
    </row>
    <row r="85" hidden="1" customHeight="1" spans="1:24">
      <c r="A85" s="44" t="s">
        <v>48</v>
      </c>
      <c r="B85" s="44" t="s">
        <v>239</v>
      </c>
      <c r="C85" s="44" t="s">
        <v>818</v>
      </c>
      <c r="D85" s="44" t="s">
        <v>819</v>
      </c>
      <c r="E85" s="44" t="s">
        <v>242</v>
      </c>
      <c r="F85" s="44">
        <v>13633275616</v>
      </c>
      <c r="G85" s="44">
        <v>13633275616</v>
      </c>
      <c r="J85" s="44" t="s">
        <v>820</v>
      </c>
      <c r="K85" s="44" t="s">
        <v>245</v>
      </c>
      <c r="L85" s="44">
        <v>0.13</v>
      </c>
      <c r="M85" s="44" t="s">
        <v>239</v>
      </c>
      <c r="N85" s="44" t="s">
        <v>821</v>
      </c>
      <c r="O85" s="44" t="s">
        <v>239</v>
      </c>
      <c r="P85" s="72" t="s">
        <v>247</v>
      </c>
      <c r="Q85" s="44" t="s">
        <v>821</v>
      </c>
      <c r="R85" s="44">
        <v>13633275616</v>
      </c>
      <c r="S85" s="44" t="s">
        <v>822</v>
      </c>
      <c r="T85" s="44" t="s">
        <v>822</v>
      </c>
      <c r="U85" s="44" t="s">
        <v>249</v>
      </c>
      <c r="V85" s="44" t="s">
        <v>823</v>
      </c>
      <c r="W85" s="44" t="s">
        <v>384</v>
      </c>
    </row>
    <row r="86" hidden="1" customHeight="1" spans="1:24">
      <c r="A86" s="44" t="s">
        <v>48</v>
      </c>
      <c r="B86" s="44" t="s">
        <v>824</v>
      </c>
      <c r="C86" s="44" t="s">
        <v>825</v>
      </c>
      <c r="D86" s="44" t="s">
        <v>826</v>
      </c>
      <c r="E86" s="44" t="s">
        <v>827</v>
      </c>
      <c r="F86" s="44">
        <v>18875204261</v>
      </c>
      <c r="G86" s="44">
        <v>18875204261</v>
      </c>
      <c r="H86" s="44" t="s">
        <v>828</v>
      </c>
      <c r="J86" s="44" t="s">
        <v>829</v>
      </c>
      <c r="K86" s="44" t="s">
        <v>830</v>
      </c>
      <c r="M86" s="44" t="s">
        <v>824</v>
      </c>
      <c r="N86" s="44" t="s">
        <v>831</v>
      </c>
      <c r="O86" s="44" t="s">
        <v>824</v>
      </c>
      <c r="P86" s="72" t="s">
        <v>832</v>
      </c>
      <c r="Q86" s="44" t="s">
        <v>831</v>
      </c>
      <c r="R86" s="44">
        <v>18875204261</v>
      </c>
      <c r="S86" s="44" t="s">
        <v>833</v>
      </c>
      <c r="T86" s="44" t="s">
        <v>833</v>
      </c>
      <c r="U86" s="44" t="s">
        <v>834</v>
      </c>
      <c r="V86" s="44" t="s">
        <v>827</v>
      </c>
      <c r="W86" s="44" t="s">
        <v>384</v>
      </c>
      <c r="X86" s="44" t="s">
        <v>835</v>
      </c>
    </row>
    <row r="87" hidden="1" customHeight="1" spans="1:24">
      <c r="A87" s="44" t="s">
        <v>48</v>
      </c>
      <c r="B87" s="44" t="s">
        <v>836</v>
      </c>
      <c r="C87" s="44" t="s">
        <v>837</v>
      </c>
      <c r="D87" s="44" t="s">
        <v>838</v>
      </c>
      <c r="E87" s="44" t="s">
        <v>839</v>
      </c>
      <c r="F87" s="44" t="s">
        <v>840</v>
      </c>
      <c r="G87" s="44">
        <v>17828076673</v>
      </c>
      <c r="H87" s="44" t="s">
        <v>841</v>
      </c>
      <c r="J87" s="44" t="s">
        <v>829</v>
      </c>
      <c r="K87" s="44" t="s">
        <v>842</v>
      </c>
      <c r="L87" s="67">
        <v>0.13</v>
      </c>
      <c r="M87" s="44" t="s">
        <v>843</v>
      </c>
      <c r="N87" s="44" t="s">
        <v>844</v>
      </c>
      <c r="O87" s="44" t="s">
        <v>843</v>
      </c>
      <c r="P87" s="72" t="s">
        <v>845</v>
      </c>
      <c r="Q87" s="44" t="s">
        <v>844</v>
      </c>
      <c r="R87" s="44" t="s">
        <v>840</v>
      </c>
      <c r="S87" s="44" t="s">
        <v>846</v>
      </c>
      <c r="T87" s="44" t="s">
        <v>846</v>
      </c>
      <c r="U87" s="44" t="s">
        <v>847</v>
      </c>
      <c r="V87" s="44" t="s">
        <v>848</v>
      </c>
      <c r="W87" s="44" t="s">
        <v>384</v>
      </c>
      <c r="X87" s="44" t="s">
        <v>849</v>
      </c>
    </row>
    <row r="88" hidden="1" customHeight="1" spans="1:24">
      <c r="A88" s="44" t="s">
        <v>48</v>
      </c>
      <c r="B88" s="44" t="s">
        <v>850</v>
      </c>
      <c r="C88" s="44" t="s">
        <v>851</v>
      </c>
      <c r="D88" s="44" t="s">
        <v>850</v>
      </c>
      <c r="E88" s="44" t="s">
        <v>852</v>
      </c>
      <c r="F88" s="44">
        <v>13819763682</v>
      </c>
      <c r="G88" s="44">
        <v>13819763682</v>
      </c>
      <c r="H88" s="44" t="s">
        <v>853</v>
      </c>
      <c r="I88" s="44" t="s">
        <v>377</v>
      </c>
      <c r="J88" s="44" t="s">
        <v>854</v>
      </c>
      <c r="K88" s="44" t="s">
        <v>855</v>
      </c>
      <c r="L88" s="67">
        <v>0.13</v>
      </c>
      <c r="M88" s="44" t="s">
        <v>850</v>
      </c>
      <c r="N88" s="44" t="s">
        <v>856</v>
      </c>
      <c r="O88" s="44" t="s">
        <v>850</v>
      </c>
      <c r="P88" s="72" t="s">
        <v>857</v>
      </c>
      <c r="Q88" s="44" t="s">
        <v>858</v>
      </c>
      <c r="R88" s="44">
        <v>13819763682</v>
      </c>
      <c r="S88" s="44" t="s">
        <v>859</v>
      </c>
      <c r="T88" s="44" t="s">
        <v>860</v>
      </c>
      <c r="U88" s="44" t="s">
        <v>861</v>
      </c>
      <c r="V88" s="44" t="s">
        <v>852</v>
      </c>
      <c r="W88" s="44" t="s">
        <v>384</v>
      </c>
    </row>
    <row r="89" hidden="1" customHeight="1" spans="1:24">
      <c r="A89" s="44" t="s">
        <v>48</v>
      </c>
      <c r="B89" s="44" t="s">
        <v>748</v>
      </c>
      <c r="C89" s="44" t="s">
        <v>862</v>
      </c>
      <c r="D89" s="44" t="s">
        <v>863</v>
      </c>
      <c r="E89" s="44" t="s">
        <v>864</v>
      </c>
      <c r="I89" s="44" t="s">
        <v>377</v>
      </c>
      <c r="J89" s="44" t="s">
        <v>865</v>
      </c>
      <c r="K89" s="44" t="s">
        <v>754</v>
      </c>
      <c r="L89" s="67">
        <v>0.13</v>
      </c>
      <c r="M89" s="44" t="s">
        <v>748</v>
      </c>
      <c r="O89" s="44" t="s">
        <v>748</v>
      </c>
      <c r="T89" s="44" t="s">
        <v>866</v>
      </c>
      <c r="W89" s="44" t="s">
        <v>384</v>
      </c>
    </row>
    <row r="90" customHeight="1" spans="1:24">
      <c r="A90" s="44" t="s">
        <v>48</v>
      </c>
      <c r="B90" s="44" t="s">
        <v>867</v>
      </c>
      <c r="C90" s="44" t="s">
        <v>372</v>
      </c>
      <c r="D90" s="44" t="s">
        <v>868</v>
      </c>
      <c r="E90" s="44" t="s">
        <v>869</v>
      </c>
      <c r="F90" s="44">
        <v>13853478013</v>
      </c>
      <c r="G90" s="44">
        <v>13853478013</v>
      </c>
      <c r="I90" s="44" t="s">
        <v>377</v>
      </c>
      <c r="J90" s="44" t="s">
        <v>870</v>
      </c>
      <c r="K90" s="44" t="s">
        <v>871</v>
      </c>
      <c r="L90" s="67">
        <v>0.13</v>
      </c>
      <c r="M90" s="44" t="s">
        <v>872</v>
      </c>
      <c r="N90" s="44" t="s">
        <v>873</v>
      </c>
      <c r="O90" s="44" t="s">
        <v>867</v>
      </c>
      <c r="P90" s="72" t="s">
        <v>874</v>
      </c>
      <c r="Q90" s="44" t="s">
        <v>875</v>
      </c>
      <c r="R90" s="44">
        <v>13853478013</v>
      </c>
      <c r="S90" s="44" t="s">
        <v>876</v>
      </c>
      <c r="T90" s="44" t="s">
        <v>876</v>
      </c>
      <c r="U90" s="44" t="s">
        <v>869</v>
      </c>
      <c r="V90" s="44" t="s">
        <v>869</v>
      </c>
      <c r="W90" s="44" t="s">
        <v>384</v>
      </c>
    </row>
    <row r="95" customHeight="1" spans="1:24">
      <c r="F95" s="68"/>
    </row>
  </sheetData>
  <autoFilter xmlns:etc="http://www.wps.cn/officeDocument/2017/etCustomData" ref="A1:X90" etc:filterBottomFollowUsedRange="0">
    <filterColumn colId="1">
      <filters>
        <filter val="山东胜诚钢结构销售有限公司"/>
        <filter val="山东港通工程管理咨询有限公司"/>
        <filter val="山东星工液压科技有限公司"/>
      </filters>
    </filterColumn>
    <extLst/>
  </autoFilter>
  <hyperlinks>
    <hyperlink ref="H84" r:id="rId3" display="zpynwz@163.com"/>
    <hyperlink ref="H88" r:id="rId4" display="330198873@qq.com"/>
  </hyperlinks>
  <pageMargins left="0.75" right="0.75" top="1" bottom="1" header="0.5" footer="0.5"/>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T5"/>
  <sheetViews>
    <sheetView zoomScale="85" zoomScaleNormal="85" workbookViewId="0">
      <pane ySplit="1" topLeftCell="A2" activePane="bottomLeft" state="frozen"/>
      <selection/>
      <selection pane="bottomLeft" activeCell="D5" sqref="D5:I5"/>
    </sheetView>
  </sheetViews>
  <sheetFormatPr defaultColWidth="8.89166666666667" defaultRowHeight="25.05" customHeight="1" outlineLevelRow="4"/>
  <cols>
    <col min="1" max="1" width="4.55833333333333" customWidth="1"/>
    <col min="2" max="2" width="8.33333333333333" customWidth="1"/>
    <col min="3" max="3" width="12.9" customWidth="1"/>
    <col min="4" max="4" width="20" customWidth="1"/>
    <col min="5" max="5" width="21.9666666666667" customWidth="1"/>
    <col min="6" max="6" width="22.4916666666667" customWidth="1"/>
    <col min="7" max="7" width="14.8916666666667" customWidth="1"/>
    <col min="8" max="9" width="4.55833333333333" customWidth="1"/>
    <col min="10" max="10" width="8.66666666666667" customWidth="1"/>
    <col min="11" max="11" width="10.775" customWidth="1"/>
    <col min="12" max="12" width="6.775" customWidth="1"/>
    <col min="13" max="14" width="5" customWidth="1"/>
    <col min="15" max="15" width="17" customWidth="1"/>
    <col min="16" max="16" width="6.66666666666667" customWidth="1"/>
    <col min="17" max="17" width="28.1083333333333" customWidth="1"/>
    <col min="18" max="18" width="6.44166666666667" customWidth="1"/>
    <col min="20" max="20" width="8.89166666666667" style="59"/>
  </cols>
  <sheetData>
    <row r="1" s="58" customFormat="1" customHeight="1" spans="1:20">
      <c r="A1" s="36" t="s">
        <v>877</v>
      </c>
      <c r="B1" s="36" t="s">
        <v>878</v>
      </c>
      <c r="C1" s="36" t="s">
        <v>879</v>
      </c>
      <c r="D1" s="36" t="s">
        <v>880</v>
      </c>
      <c r="E1" s="60" t="s">
        <v>881</v>
      </c>
      <c r="F1" s="36" t="s">
        <v>882</v>
      </c>
      <c r="G1" s="36" t="s">
        <v>883</v>
      </c>
      <c r="H1" s="36" t="s">
        <v>884</v>
      </c>
      <c r="I1" s="36" t="s">
        <v>885</v>
      </c>
      <c r="J1" s="61" t="s">
        <v>886</v>
      </c>
      <c r="K1" s="61" t="s">
        <v>887</v>
      </c>
      <c r="L1" s="36" t="s">
        <v>888</v>
      </c>
      <c r="M1" s="36" t="s">
        <v>889</v>
      </c>
      <c r="N1" s="36" t="s">
        <v>890</v>
      </c>
      <c r="O1" s="36" t="s">
        <v>891</v>
      </c>
      <c r="P1" s="36" t="s">
        <v>892</v>
      </c>
      <c r="Q1" s="36" t="s">
        <v>47</v>
      </c>
      <c r="R1" s="62" t="s">
        <v>48</v>
      </c>
      <c r="S1" s="62" t="s">
        <v>893</v>
      </c>
      <c r="T1" s="63" t="s">
        <v>888</v>
      </c>
    </row>
    <row r="2" customFormat="1" ht="30" customHeight="1" spans="1:20">
      <c r="A2" t="s">
        <v>894</v>
      </c>
      <c r="B2">
        <v>202503</v>
      </c>
      <c r="C2" t="s">
        <v>895</v>
      </c>
      <c r="D2" s="35" t="s">
        <v>896</v>
      </c>
      <c r="E2" s="35" t="s">
        <v>897</v>
      </c>
      <c r="F2" s="35" t="s">
        <v>898</v>
      </c>
      <c r="G2" s="35" t="s">
        <v>899</v>
      </c>
      <c r="H2" s="35" t="s">
        <v>900</v>
      </c>
      <c r="I2" s="35">
        <v>10</v>
      </c>
      <c r="K2" t="s">
        <v>901</v>
      </c>
    </row>
    <row r="3" customFormat="1" ht="30" customHeight="1" spans="1:20">
      <c r="A3">
        <v>1</v>
      </c>
      <c r="B3">
        <v>202503</v>
      </c>
      <c r="C3" t="s">
        <v>895</v>
      </c>
      <c r="D3" s="35" t="s">
        <v>895</v>
      </c>
      <c r="E3" s="35" t="s">
        <v>902</v>
      </c>
      <c r="F3" t="s">
        <v>903</v>
      </c>
      <c r="G3" s="35" t="s">
        <v>899</v>
      </c>
      <c r="H3" s="35" t="s">
        <v>900</v>
      </c>
      <c r="I3" s="35">
        <v>10</v>
      </c>
      <c r="K3" t="s">
        <v>901</v>
      </c>
    </row>
    <row r="4" customFormat="1" ht="30" customHeight="1" spans="1:20">
      <c r="A4">
        <v>3</v>
      </c>
      <c r="B4">
        <v>202512</v>
      </c>
      <c r="C4" t="s">
        <v>895</v>
      </c>
      <c r="D4" s="35" t="s">
        <v>904</v>
      </c>
      <c r="E4" s="35" t="s">
        <v>905</v>
      </c>
      <c r="F4" s="40" t="s">
        <v>906</v>
      </c>
      <c r="G4" s="35" t="s">
        <v>899</v>
      </c>
      <c r="H4" s="35" t="s">
        <v>900</v>
      </c>
      <c r="I4" s="35">
        <v>10</v>
      </c>
      <c r="K4" t="s">
        <v>901</v>
      </c>
    </row>
    <row r="5" customFormat="1" ht="30" customHeight="1" spans="1:20">
      <c r="A5">
        <v>4</v>
      </c>
      <c r="B5">
        <v>202512</v>
      </c>
      <c r="C5" t="s">
        <v>907</v>
      </c>
      <c r="D5" s="35" t="s">
        <v>908</v>
      </c>
      <c r="E5" s="35" t="s">
        <v>909</v>
      </c>
      <c r="F5" s="40" t="s">
        <v>910</v>
      </c>
      <c r="G5" s="35" t="s">
        <v>899</v>
      </c>
      <c r="H5" s="35" t="s">
        <v>900</v>
      </c>
      <c r="I5" s="35">
        <v>10</v>
      </c>
      <c r="K5" t="s">
        <v>901</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theme="6" tint="0.4"/>
  </sheetPr>
  <dimension ref="A1:P15"/>
  <sheetViews>
    <sheetView tabSelected="1" zoomScale="85" zoomScaleNormal="85" workbookViewId="0">
      <selection activeCell="D17" sqref="D17"/>
    </sheetView>
  </sheetViews>
  <sheetFormatPr defaultColWidth="8.89166666666667" defaultRowHeight="18.75"/>
  <cols>
    <col min="1" max="1" width="27.9416666666667" style="19" customWidth="1"/>
    <col min="2" max="2" width="14.4083333333333" style="19" customWidth="1"/>
    <col min="3" max="3" width="12.9333333333333" style="19" customWidth="1"/>
    <col min="4" max="4" width="21.9" style="19" customWidth="1"/>
    <col min="5" max="5" width="17.9333333333333" style="19" customWidth="1"/>
    <col min="6" max="6" width="14.4083333333333" style="19" customWidth="1"/>
    <col min="7" max="14" width="15.625" style="19" customWidth="1"/>
    <col min="15" max="15" width="8.89166666666667" style="14" customWidth="1"/>
    <col min="16" max="16" width="9.125" style="14"/>
    <col min="17" max="16384" width="8.89166666666667" style="14"/>
  </cols>
  <sheetData>
    <row r="1" ht="42" customHeight="1" spans="1:16">
      <c r="A1" s="19" t="s">
        <v>911</v>
      </c>
      <c r="B1" s="19" t="s">
        <v>912</v>
      </c>
      <c r="C1" s="19" t="s">
        <v>913</v>
      </c>
      <c r="D1" s="19" t="s">
        <v>48</v>
      </c>
      <c r="E1" s="19" t="s">
        <v>914</v>
      </c>
      <c r="F1" s="19" t="s">
        <v>915</v>
      </c>
      <c r="G1" s="19" t="s">
        <v>916</v>
      </c>
      <c r="H1" s="19" t="s">
        <v>917</v>
      </c>
      <c r="I1" s="19" t="s">
        <v>918</v>
      </c>
      <c r="J1" s="19" t="s">
        <v>919</v>
      </c>
      <c r="K1" s="52" t="s">
        <v>920</v>
      </c>
      <c r="L1" s="19" t="s">
        <v>921</v>
      </c>
      <c r="M1" s="19" t="s">
        <v>922</v>
      </c>
      <c r="N1" s="19" t="s">
        <v>923</v>
      </c>
      <c r="O1" s="14" t="s">
        <v>924</v>
      </c>
    </row>
    <row r="2" ht="20" customHeight="1" spans="1:16">
      <c r="A2" s="19" t="s">
        <v>925</v>
      </c>
      <c r="B2" s="19" t="s">
        <v>926</v>
      </c>
      <c r="C2" s="19" t="s">
        <v>927</v>
      </c>
      <c r="D2" s="53" t="s">
        <v>239</v>
      </c>
      <c r="E2" s="54" t="s">
        <v>818</v>
      </c>
      <c r="F2" s="55">
        <v>46315</v>
      </c>
      <c r="G2" s="19" t="s">
        <v>926</v>
      </c>
      <c r="H2" s="56" t="s">
        <v>928</v>
      </c>
      <c r="I2" s="56" t="s">
        <v>929</v>
      </c>
      <c r="J2" s="56" t="s">
        <v>930</v>
      </c>
      <c r="K2" s="56" t="s">
        <v>931</v>
      </c>
      <c r="L2" s="56" t="s">
        <v>932</v>
      </c>
      <c r="M2" s="19" t="s">
        <v>933</v>
      </c>
      <c r="N2" s="19" t="s">
        <v>934</v>
      </c>
    </row>
    <row r="3" ht="116" customHeight="1" spans="1:16">
      <c r="A3" s="19" t="s">
        <v>935</v>
      </c>
      <c r="B3" s="19" t="s">
        <v>936</v>
      </c>
      <c r="C3" s="19" t="s">
        <v>927</v>
      </c>
      <c r="D3" s="53" t="s">
        <v>808</v>
      </c>
      <c r="E3" s="54" t="s">
        <v>809</v>
      </c>
      <c r="F3" s="55">
        <v>46315</v>
      </c>
      <c r="G3" s="19" t="s">
        <v>937</v>
      </c>
      <c r="H3" s="56" t="s">
        <v>928</v>
      </c>
      <c r="I3" s="56" t="s">
        <v>929</v>
      </c>
      <c r="J3" s="56" t="s">
        <v>938</v>
      </c>
      <c r="K3" s="56" t="s">
        <v>939</v>
      </c>
      <c r="L3" s="56" t="s">
        <v>932</v>
      </c>
      <c r="M3" s="19" t="s">
        <v>940</v>
      </c>
      <c r="N3" s="19" t="s">
        <v>941</v>
      </c>
      <c r="O3" s="14">
        <v>735900</v>
      </c>
      <c r="P3" s="14">
        <f>O3*0.2</f>
        <v>147180</v>
      </c>
    </row>
    <row r="4" ht="20" customHeight="1" spans="1:16">
      <c r="A4" s="19" t="s">
        <v>942</v>
      </c>
      <c r="B4" s="19" t="s">
        <v>943</v>
      </c>
      <c r="C4" s="19" t="s">
        <v>927</v>
      </c>
      <c r="D4" s="53" t="s">
        <v>824</v>
      </c>
      <c r="E4" s="54" t="s">
        <v>825</v>
      </c>
      <c r="F4" s="55">
        <v>46315</v>
      </c>
      <c r="G4" s="19" t="s">
        <v>944</v>
      </c>
      <c r="H4" s="56" t="s">
        <v>945</v>
      </c>
      <c r="I4" s="56" t="s">
        <v>929</v>
      </c>
      <c r="J4" s="56" t="s">
        <v>938</v>
      </c>
      <c r="K4" s="56" t="s">
        <v>946</v>
      </c>
      <c r="L4" s="56" t="s">
        <v>932</v>
      </c>
      <c r="M4" s="19" t="s">
        <v>947</v>
      </c>
      <c r="N4" s="19" t="s">
        <v>948</v>
      </c>
    </row>
    <row r="5" ht="20" customHeight="1" spans="1:16">
      <c r="A5" s="19" t="s">
        <v>949</v>
      </c>
      <c r="B5" s="19" t="s">
        <v>943</v>
      </c>
      <c r="C5" s="19" t="s">
        <v>927</v>
      </c>
      <c r="D5" s="53" t="s">
        <v>717</v>
      </c>
      <c r="E5" s="54" t="s">
        <v>718</v>
      </c>
      <c r="F5" s="55">
        <v>46315</v>
      </c>
      <c r="G5" s="19" t="s">
        <v>944</v>
      </c>
      <c r="H5" s="56" t="s">
        <v>945</v>
      </c>
      <c r="I5" s="56" t="s">
        <v>929</v>
      </c>
      <c r="J5" s="56" t="s">
        <v>938</v>
      </c>
      <c r="K5" s="56" t="s">
        <v>946</v>
      </c>
      <c r="L5" s="56" t="s">
        <v>932</v>
      </c>
      <c r="M5" s="19" t="s">
        <v>947</v>
      </c>
      <c r="N5" s="19" t="s">
        <v>948</v>
      </c>
    </row>
    <row r="6" ht="20" customHeight="1" spans="1:16">
      <c r="A6" s="19" t="s">
        <v>950</v>
      </c>
      <c r="B6" s="19" t="s">
        <v>951</v>
      </c>
      <c r="C6" s="19" t="s">
        <v>927</v>
      </c>
      <c r="D6" s="53" t="s">
        <v>836</v>
      </c>
      <c r="E6" s="54" t="s">
        <v>837</v>
      </c>
      <c r="F6" s="55">
        <v>46315</v>
      </c>
      <c r="G6" s="19" t="s">
        <v>952</v>
      </c>
      <c r="H6" s="56" t="s">
        <v>945</v>
      </c>
      <c r="I6" s="56" t="s">
        <v>929</v>
      </c>
      <c r="J6" s="56" t="s">
        <v>938</v>
      </c>
      <c r="K6" s="56" t="s">
        <v>946</v>
      </c>
      <c r="L6" s="56" t="s">
        <v>932</v>
      </c>
      <c r="M6" s="19" t="s">
        <v>947</v>
      </c>
      <c r="N6" s="19" t="s">
        <v>948</v>
      </c>
    </row>
    <row r="7" ht="20" customHeight="1" spans="1:16">
      <c r="A7" s="19" t="s">
        <v>953</v>
      </c>
      <c r="B7" s="19" t="s">
        <v>954</v>
      </c>
      <c r="C7" s="19" t="s">
        <v>927</v>
      </c>
      <c r="D7" s="53" t="s">
        <v>850</v>
      </c>
      <c r="E7" s="54" t="s">
        <v>851</v>
      </c>
      <c r="F7" s="55">
        <v>46315</v>
      </c>
      <c r="G7" s="19" t="s">
        <v>955</v>
      </c>
      <c r="H7" s="56" t="s">
        <v>945</v>
      </c>
      <c r="I7" s="56" t="s">
        <v>929</v>
      </c>
      <c r="J7" s="56" t="s">
        <v>938</v>
      </c>
      <c r="K7" s="56" t="s">
        <v>956</v>
      </c>
      <c r="L7" s="56" t="s">
        <v>932</v>
      </c>
      <c r="M7" s="19" t="s">
        <v>957</v>
      </c>
      <c r="N7" s="19" t="s">
        <v>958</v>
      </c>
    </row>
    <row r="8" ht="20" customHeight="1" spans="1:16">
      <c r="A8" s="19" t="s">
        <v>959</v>
      </c>
      <c r="B8" s="19" t="s">
        <v>960</v>
      </c>
      <c r="C8" s="19" t="s">
        <v>961</v>
      </c>
      <c r="D8" s="53" t="s">
        <v>748</v>
      </c>
      <c r="E8" s="54" t="s">
        <v>862</v>
      </c>
      <c r="F8" s="55">
        <v>46032</v>
      </c>
      <c r="G8" s="19" t="s">
        <v>902</v>
      </c>
      <c r="H8" s="56" t="s">
        <v>962</v>
      </c>
      <c r="I8" s="56" t="s">
        <v>963</v>
      </c>
      <c r="J8" s="56" t="s">
        <v>964</v>
      </c>
      <c r="K8" s="56" t="s">
        <v>965</v>
      </c>
      <c r="L8" s="56" t="s">
        <v>966</v>
      </c>
      <c r="M8" s="19" t="s">
        <v>967</v>
      </c>
      <c r="N8" s="19" t="s">
        <v>968</v>
      </c>
    </row>
    <row r="9" ht="20" customHeight="1" spans="1:16">
      <c r="A9" s="19" t="s">
        <v>969</v>
      </c>
      <c r="B9" s="19" t="s">
        <v>970</v>
      </c>
      <c r="C9" s="19" t="s">
        <v>971</v>
      </c>
      <c r="D9" s="53" t="s">
        <v>748</v>
      </c>
      <c r="E9" s="54" t="s">
        <v>862</v>
      </c>
      <c r="F9" s="55">
        <v>46242</v>
      </c>
      <c r="G9" s="19" t="s">
        <v>897</v>
      </c>
      <c r="H9" s="56" t="s">
        <v>962</v>
      </c>
      <c r="I9" s="56" t="s">
        <v>963</v>
      </c>
      <c r="J9" s="56" t="s">
        <v>972</v>
      </c>
      <c r="K9" s="56" t="s">
        <v>973</v>
      </c>
      <c r="L9" s="56" t="s">
        <v>966</v>
      </c>
      <c r="M9" s="19" t="s">
        <v>974</v>
      </c>
      <c r="N9" s="19" t="s">
        <v>975</v>
      </c>
    </row>
    <row r="10" ht="20" customHeight="1" spans="1:16">
      <c r="A10" s="19" t="s">
        <v>976</v>
      </c>
      <c r="B10" s="19" t="s">
        <v>977</v>
      </c>
      <c r="C10" s="19" t="s">
        <v>927</v>
      </c>
      <c r="D10" s="53" t="s">
        <v>371</v>
      </c>
      <c r="E10" s="54" t="s">
        <v>372</v>
      </c>
      <c r="F10" s="55">
        <v>46008</v>
      </c>
      <c r="G10" s="19" t="s">
        <v>978</v>
      </c>
      <c r="H10" s="56" t="s">
        <v>979</v>
      </c>
      <c r="I10" s="56" t="s">
        <v>980</v>
      </c>
      <c r="J10" s="56" t="s">
        <v>981</v>
      </c>
      <c r="K10" s="56" t="s">
        <v>982</v>
      </c>
      <c r="L10" s="56" t="s">
        <v>983</v>
      </c>
      <c r="M10" s="19" t="s">
        <v>984</v>
      </c>
      <c r="N10" s="19" t="s">
        <v>985</v>
      </c>
    </row>
    <row r="11" ht="20" customHeight="1" spans="1:16">
      <c r="A11" s="19" t="s">
        <v>986</v>
      </c>
      <c r="B11" s="19" t="s">
        <v>987</v>
      </c>
      <c r="C11" s="19" t="s">
        <v>927</v>
      </c>
      <c r="D11" s="53" t="s">
        <v>199</v>
      </c>
      <c r="E11" s="54" t="s">
        <v>200</v>
      </c>
      <c r="F11" s="55">
        <v>46027</v>
      </c>
      <c r="G11" s="19" t="s">
        <v>988</v>
      </c>
      <c r="H11" s="56" t="s">
        <v>989</v>
      </c>
      <c r="I11" s="56" t="s">
        <v>990</v>
      </c>
      <c r="J11" s="56" t="s">
        <v>981</v>
      </c>
      <c r="K11" s="56" t="s">
        <v>991</v>
      </c>
      <c r="L11" s="56" t="s">
        <v>992</v>
      </c>
      <c r="M11" s="19" t="s">
        <v>993</v>
      </c>
      <c r="N11" s="19" t="s">
        <v>994</v>
      </c>
    </row>
    <row r="12" ht="62" customHeight="1" spans="1:16">
      <c r="A12" s="19" t="s">
        <v>995</v>
      </c>
      <c r="B12" s="19" t="s">
        <v>996</v>
      </c>
      <c r="C12" s="19" t="s">
        <v>927</v>
      </c>
      <c r="D12" s="53" t="s">
        <v>280</v>
      </c>
      <c r="E12" s="54" t="s">
        <v>281</v>
      </c>
      <c r="F12" s="55">
        <v>46325</v>
      </c>
      <c r="G12" s="19" t="s">
        <v>997</v>
      </c>
      <c r="H12" s="56" t="s">
        <v>945</v>
      </c>
      <c r="I12" s="56" t="s">
        <v>929</v>
      </c>
      <c r="J12" s="56" t="s">
        <v>938</v>
      </c>
      <c r="K12" s="56" t="s">
        <v>946</v>
      </c>
      <c r="L12" s="56" t="s">
        <v>932</v>
      </c>
      <c r="M12" s="19" t="s">
        <v>947</v>
      </c>
      <c r="N12" s="19" t="s">
        <v>934</v>
      </c>
    </row>
    <row r="13" ht="20" customHeight="1" spans="1:16">
      <c r="A13" s="19" t="s">
        <v>998</v>
      </c>
      <c r="B13" s="19" t="s">
        <v>999</v>
      </c>
      <c r="C13" s="19" t="s">
        <v>927</v>
      </c>
      <c r="D13" s="53" t="s">
        <v>867</v>
      </c>
      <c r="E13" s="54" t="s">
        <v>372</v>
      </c>
      <c r="F13" s="55">
        <v>46325</v>
      </c>
      <c r="G13" s="19" t="s">
        <v>1000</v>
      </c>
      <c r="H13" s="56" t="s">
        <v>945</v>
      </c>
      <c r="I13" s="56" t="s">
        <v>929</v>
      </c>
      <c r="J13" s="56" t="s">
        <v>938</v>
      </c>
      <c r="K13" s="56" t="s">
        <v>956</v>
      </c>
      <c r="L13" s="56" t="s">
        <v>932</v>
      </c>
      <c r="M13" s="19" t="s">
        <v>1001</v>
      </c>
      <c r="N13" s="19" t="s">
        <v>1002</v>
      </c>
    </row>
    <row r="14" customHeight="1" spans="1:16">
      <c r="G14" s="57"/>
    </row>
    <row r="15" spans="1:16">
      <c r="G15" s="57"/>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9" tint="0.599993896298105"/>
  </sheetPr>
  <dimension ref="A1:X8"/>
  <sheetViews>
    <sheetView workbookViewId="0">
      <pane ySplit="1" topLeftCell="A2" activePane="bottomLeft" state="frozen"/>
      <selection/>
      <selection pane="bottomLeft" activeCell="F31" sqref="F31"/>
    </sheetView>
  </sheetViews>
  <sheetFormatPr defaultColWidth="9" defaultRowHeight="13.5" outlineLevelRow="7"/>
  <cols>
    <col min="1" max="10" width="14" customWidth="1"/>
    <col min="11" max="11" width="16" customWidth="1"/>
    <col min="12" max="15" width="14" customWidth="1"/>
    <col min="16" max="16" width="14" style="46" customWidth="1"/>
    <col min="17" max="24" width="14" customWidth="1"/>
  </cols>
  <sheetData>
    <row r="1" ht="22.05" customHeight="1" spans="1:24">
      <c r="A1" s="5" t="s">
        <v>24</v>
      </c>
      <c r="B1" s="5" t="s">
        <v>25</v>
      </c>
      <c r="C1" s="5" t="s">
        <v>26</v>
      </c>
      <c r="D1" s="6" t="s">
        <v>27</v>
      </c>
      <c r="E1" s="6" t="s">
        <v>28</v>
      </c>
      <c r="F1" s="6" t="s">
        <v>29</v>
      </c>
      <c r="G1" s="6" t="s">
        <v>30</v>
      </c>
      <c r="H1" s="6" t="s">
        <v>31</v>
      </c>
      <c r="I1" s="6" t="s">
        <v>32</v>
      </c>
      <c r="J1" s="6" t="s">
        <v>33</v>
      </c>
      <c r="K1" s="6" t="s">
        <v>34</v>
      </c>
      <c r="L1" s="6" t="s">
        <v>35</v>
      </c>
      <c r="M1" s="6" t="s">
        <v>36</v>
      </c>
      <c r="N1" s="6" t="s">
        <v>37</v>
      </c>
      <c r="O1" s="6" t="s">
        <v>38</v>
      </c>
      <c r="P1" s="47" t="s">
        <v>39</v>
      </c>
      <c r="Q1" s="6" t="s">
        <v>40</v>
      </c>
      <c r="R1" s="6" t="s">
        <v>41</v>
      </c>
      <c r="S1" s="6" t="s">
        <v>42</v>
      </c>
      <c r="T1" s="6" t="s">
        <v>43</v>
      </c>
      <c r="U1" s="6" t="s">
        <v>44</v>
      </c>
      <c r="V1" s="6" t="s">
        <v>45</v>
      </c>
      <c r="W1" s="6" t="s">
        <v>46</v>
      </c>
      <c r="X1" s="6" t="s">
        <v>47</v>
      </c>
    </row>
    <row r="2" s="44" customFormat="1" ht="25.05" customHeight="1" spans="1:24">
      <c r="A2" s="48" t="s">
        <v>48</v>
      </c>
      <c r="B2" s="49" t="s">
        <v>867</v>
      </c>
      <c r="C2" s="48" t="s">
        <v>372</v>
      </c>
      <c r="D2" s="49" t="s">
        <v>868</v>
      </c>
      <c r="E2" s="49" t="s">
        <v>869</v>
      </c>
      <c r="F2" s="48">
        <v>13853478013</v>
      </c>
      <c r="G2" s="48">
        <v>13853478013</v>
      </c>
      <c r="H2" s="48"/>
      <c r="I2" s="48" t="s">
        <v>377</v>
      </c>
      <c r="J2" s="49" t="s">
        <v>870</v>
      </c>
      <c r="K2" s="48" t="s">
        <v>871</v>
      </c>
      <c r="L2" s="50">
        <v>0.13</v>
      </c>
      <c r="M2" s="48" t="s">
        <v>872</v>
      </c>
      <c r="N2" s="49" t="s">
        <v>873</v>
      </c>
      <c r="O2" s="48" t="s">
        <v>867</v>
      </c>
      <c r="P2" s="73" t="s">
        <v>874</v>
      </c>
      <c r="Q2" s="48" t="s">
        <v>875</v>
      </c>
      <c r="R2" s="48">
        <v>13853478013</v>
      </c>
      <c r="S2" s="48" t="s">
        <v>876</v>
      </c>
      <c r="T2" s="48" t="s">
        <v>876</v>
      </c>
      <c r="U2" s="48" t="s">
        <v>869</v>
      </c>
      <c r="V2" s="48" t="s">
        <v>869</v>
      </c>
      <c r="W2" s="44" t="s">
        <v>384</v>
      </c>
    </row>
    <row r="3" s="45" customFormat="1" ht="25.05" customHeight="1" spans="1:24">
      <c r="A3" s="48"/>
      <c r="B3" s="45"/>
      <c r="C3" s="45"/>
      <c r="D3" s="45"/>
      <c r="E3" s="45"/>
      <c r="F3" s="45"/>
      <c r="G3" s="45"/>
      <c r="H3" s="45"/>
      <c r="P3" s="51"/>
    </row>
    <row r="4" s="45" customFormat="1" ht="25.05" customHeight="1" spans="1:24">
      <c r="P4" s="51"/>
    </row>
    <row r="5" s="45" customFormat="1" ht="25.05" customHeight="1" spans="1:24">
      <c r="P5" s="51"/>
    </row>
    <row r="6" s="45" customFormat="1" ht="25.05" customHeight="1" spans="1:24">
      <c r="P6" s="51"/>
    </row>
    <row r="7" s="45" customFormat="1" ht="25.05" customHeight="1" spans="1:24">
      <c r="P7" s="51"/>
    </row>
    <row r="8" s="45" customFormat="1" ht="25.05" customHeight="1" spans="1:24">
      <c r="P8" s="51"/>
    </row>
  </sheetData>
  <autoFilter xmlns:etc="http://www.wps.cn/officeDocument/2017/etCustomData" ref="A1:X7" etc:filterBottomFollowUsedRange="0">
    <extLst/>
  </autoFilter>
  <dataValidations count="1">
    <dataValidation type="list" sqref="A4:A499">
      <formula1>"供应商,客户"</formula1>
    </dataValidation>
  </dataValidation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2073" name="Button 25" r:id="rId4">
              <controlPr print="0" defaultSize="0">
                <anchor moveWithCells="1" sizeWithCells="1">
                  <from>
                    <xdr:col>4</xdr:col>
                    <xdr:colOff>0</xdr:colOff>
                    <xdr:row>13</xdr:row>
                    <xdr:rowOff>0</xdr:rowOff>
                  </from>
                  <to>
                    <xdr:col>5</xdr:col>
                    <xdr:colOff>182880</xdr:colOff>
                    <xdr:row>14</xdr:row>
                    <xdr:rowOff>167640</xdr:rowOff>
                  </to>
                </anchor>
              </controlPr>
            </control>
          </mc:Choice>
        </mc:AlternateContent>
        <mc:AlternateContent xmlns:mc="http://schemas.openxmlformats.org/markup-compatibility/2006">
          <mc:Choice Requires="x14">
            <control shapeId="2074" name="Button 26" r:id="rId5">
              <controlPr print="0" defaultSize="0">
                <anchor moveWithCells="1" sizeWithCells="1">
                  <from>
                    <xdr:col>5</xdr:col>
                    <xdr:colOff>312420</xdr:colOff>
                    <xdr:row>13</xdr:row>
                    <xdr:rowOff>0</xdr:rowOff>
                  </from>
                  <to>
                    <xdr:col>7</xdr:col>
                    <xdr:colOff>167640</xdr:colOff>
                    <xdr:row>14</xdr:row>
                    <xdr:rowOff>167640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5B9BD5"/>
  </sheetPr>
  <dimension ref="A1:V1"/>
  <sheetViews>
    <sheetView workbookViewId="0">
      <pane ySplit="1" topLeftCell="A2" activePane="bottomLeft" state="frozen"/>
      <selection/>
      <selection pane="bottomLeft" activeCell="A1" sqref="A1"/>
    </sheetView>
  </sheetViews>
  <sheetFormatPr defaultColWidth="9" defaultRowHeight="13.5"/>
  <cols>
    <col min="1" max="6" width="14" customWidth="1"/>
    <col min="7" max="7" width="16" customWidth="1"/>
    <col min="8" max="22" width="14" customWidth="1"/>
  </cols>
  <sheetData>
    <row r="1" ht="22.05" customHeight="1" spans="1:22">
      <c r="A1" s="6" t="s">
        <v>1003</v>
      </c>
      <c r="B1" s="5" t="s">
        <v>1004</v>
      </c>
      <c r="C1" s="6" t="s">
        <v>27</v>
      </c>
      <c r="D1" s="6" t="s">
        <v>46</v>
      </c>
      <c r="E1" s="6" t="s">
        <v>35</v>
      </c>
      <c r="F1" s="6" t="s">
        <v>32</v>
      </c>
      <c r="G1" s="6" t="s">
        <v>34</v>
      </c>
      <c r="H1" s="6" t="s">
        <v>36</v>
      </c>
      <c r="I1" s="6" t="s">
        <v>37</v>
      </c>
      <c r="J1" s="6" t="s">
        <v>38</v>
      </c>
      <c r="K1" s="6" t="s">
        <v>39</v>
      </c>
      <c r="L1" s="6" t="s">
        <v>40</v>
      </c>
      <c r="M1" s="6" t="s">
        <v>41</v>
      </c>
      <c r="N1" s="6" t="s">
        <v>42</v>
      </c>
      <c r="O1" s="6" t="s">
        <v>43</v>
      </c>
      <c r="P1" s="6" t="s">
        <v>31</v>
      </c>
      <c r="Q1" s="6" t="s">
        <v>30</v>
      </c>
      <c r="R1" s="6" t="s">
        <v>44</v>
      </c>
      <c r="S1" s="6" t="s">
        <v>45</v>
      </c>
      <c r="T1" s="6" t="s">
        <v>28</v>
      </c>
      <c r="U1" s="6" t="s">
        <v>29</v>
      </c>
      <c r="V1" s="6" t="s">
        <v>47</v>
      </c>
    </row>
  </sheetData>
  <autoFilter xmlns:etc="http://www.wps.cn/officeDocument/2017/etCustomData" ref="A1:V1" etc:filterBottomFollowUsedRange="0">
    <extLst/>
  </autoFilter>
  <pageMargins left="0.75" right="0.75" top="1" bottom="1" header="0.5" footer="0.5"/>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5B9BD5"/>
  </sheetPr>
  <dimension ref="A1:D1"/>
  <sheetViews>
    <sheetView workbookViewId="0">
      <pane ySplit="1" topLeftCell="A2" activePane="bottomLeft" state="frozen"/>
      <selection/>
      <selection pane="bottomLeft" activeCell="A1" sqref="A1"/>
    </sheetView>
  </sheetViews>
  <sheetFormatPr defaultColWidth="9" defaultRowHeight="13.5" outlineLevelCol="3"/>
  <cols>
    <col min="1" max="4" width="14" customWidth="1"/>
  </cols>
  <sheetData>
    <row r="1" ht="22.05" customHeight="1" spans="1:4">
      <c r="A1" s="5" t="s">
        <v>26</v>
      </c>
      <c r="B1" s="5" t="s">
        <v>25</v>
      </c>
      <c r="C1" s="6" t="s">
        <v>1005</v>
      </c>
      <c r="D1" s="6" t="s">
        <v>46</v>
      </c>
    </row>
  </sheetData>
  <autoFilter xmlns:etc="http://www.wps.cn/officeDocument/2017/etCustomData" ref="A1:D1" etc:filterBottomFollowUsedRange="0">
    <extLst/>
  </autoFilter>
  <pageMargins left="0.75" right="0.75" top="1" bottom="1" header="0.5" footer="0.5"/>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5B9BD5"/>
  </sheetPr>
  <dimension ref="A1:D1"/>
  <sheetViews>
    <sheetView workbookViewId="0">
      <pane ySplit="1" topLeftCell="A2" activePane="bottomLeft" state="frozen"/>
      <selection/>
      <selection pane="bottomLeft" activeCell="A1" sqref="A1"/>
    </sheetView>
  </sheetViews>
  <sheetFormatPr defaultColWidth="9" defaultRowHeight="13.5" outlineLevelCol="3"/>
  <cols>
    <col min="1" max="4" width="14" customWidth="1"/>
  </cols>
  <sheetData>
    <row r="1" ht="22.05" customHeight="1" spans="1:4">
      <c r="A1" s="5" t="s">
        <v>26</v>
      </c>
      <c r="B1" s="5" t="s">
        <v>25</v>
      </c>
      <c r="C1" s="6" t="s">
        <v>47</v>
      </c>
      <c r="D1" s="6" t="s">
        <v>46</v>
      </c>
    </row>
  </sheetData>
  <autoFilter xmlns:etc="http://www.wps.cn/officeDocument/2017/etCustomData" ref="A1:D1" etc:filterBottomFollowUsedRange="0">
    <extLst/>
  </autoFilter>
  <pageMargins left="0.75" right="0.75" top="1" bottom="1" header="0.5" footer="0.5"/>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5" tint="0.599993896298105"/>
  </sheetPr>
  <dimension ref="A1:V60"/>
  <sheetViews>
    <sheetView workbookViewId="0">
      <pane ySplit="1" topLeftCell="A2" activePane="bottomLeft" state="frozen"/>
      <selection/>
      <selection pane="bottomLeft" activeCell="A2" sqref="$A2:$XFD2"/>
    </sheetView>
  </sheetViews>
  <sheetFormatPr defaultColWidth="9" defaultRowHeight="13.5"/>
  <cols>
    <col min="1" max="1" width="4.55833333333333" customWidth="1"/>
    <col min="2" max="2" width="8.33333333333333" customWidth="1"/>
    <col min="3" max="3" width="12.9" customWidth="1"/>
    <col min="4" max="4" width="31" style="35" customWidth="1"/>
    <col min="5" max="5" width="19.5" style="35" customWidth="1"/>
    <col min="6" max="6" width="22.375" style="35" customWidth="1"/>
    <col min="7" max="7" width="23.1083333333333" style="35" customWidth="1"/>
    <col min="8" max="8" width="5" style="35" customWidth="1"/>
    <col min="9" max="9" width="9.225" style="35" customWidth="1"/>
    <col min="10" max="11" width="14" customWidth="1"/>
    <col min="12" max="14" width="14" hidden="1" customWidth="1"/>
    <col min="15" max="15" width="16" hidden="1" customWidth="1"/>
  </cols>
  <sheetData>
    <row r="1" ht="63" customHeight="1" spans="1:22">
      <c r="A1" s="36" t="s">
        <v>877</v>
      </c>
      <c r="B1" s="36" t="s">
        <v>878</v>
      </c>
      <c r="C1" s="36" t="s">
        <v>879</v>
      </c>
      <c r="D1" s="37" t="s">
        <v>880</v>
      </c>
      <c r="E1" s="37" t="s">
        <v>1006</v>
      </c>
      <c r="F1" s="38" t="s">
        <v>1007</v>
      </c>
      <c r="G1" s="38" t="s">
        <v>1008</v>
      </c>
      <c r="H1" s="38" t="s">
        <v>884</v>
      </c>
      <c r="I1" s="37" t="s">
        <v>1009</v>
      </c>
      <c r="J1" s="6" t="s">
        <v>1010</v>
      </c>
      <c r="K1" s="6" t="s">
        <v>1011</v>
      </c>
      <c r="L1" s="6" t="s">
        <v>47</v>
      </c>
      <c r="M1" s="6" t="s">
        <v>1012</v>
      </c>
      <c r="N1" s="6" t="s">
        <v>1013</v>
      </c>
      <c r="O1" s="6" t="s">
        <v>1014</v>
      </c>
      <c r="V1" s="39" t="s">
        <v>1015</v>
      </c>
    </row>
    <row r="2" customFormat="1" ht="30" customHeight="1" spans="1:22">
      <c r="A2">
        <v>4</v>
      </c>
      <c r="B2">
        <v>202512</v>
      </c>
      <c r="C2" t="s">
        <v>907</v>
      </c>
      <c r="D2" s="35" t="s">
        <v>908</v>
      </c>
      <c r="E2" s="35" t="s">
        <v>909</v>
      </c>
      <c r="F2" s="40" t="s">
        <v>910</v>
      </c>
      <c r="G2" s="35" t="s">
        <v>899</v>
      </c>
      <c r="H2" s="35" t="s">
        <v>900</v>
      </c>
      <c r="I2" s="35">
        <v>10</v>
      </c>
      <c r="J2"/>
      <c r="K2" t="s">
        <v>901</v>
      </c>
    </row>
    <row r="3" spans="1:22">
      <c r="A3" s="41"/>
      <c r="B3" s="42"/>
      <c r="C3" s="42"/>
      <c r="D3" s="42"/>
      <c r="E3" s="42"/>
      <c r="F3" s="42"/>
      <c r="G3" s="42"/>
      <c r="H3" s="42"/>
      <c r="I3" s="43"/>
    </row>
    <row r="4" spans="1:22">
      <c r="A4" s="41"/>
      <c r="B4" s="42"/>
      <c r="C4" s="42"/>
      <c r="D4" s="42"/>
      <c r="E4" s="42"/>
      <c r="F4" s="42"/>
      <c r="G4" s="42"/>
      <c r="H4" s="42"/>
      <c r="I4" s="43"/>
    </row>
    <row r="5" spans="1:22">
      <c r="A5" s="41"/>
      <c r="B5" s="42"/>
      <c r="C5" s="42"/>
      <c r="D5" s="42"/>
      <c r="E5" s="42"/>
      <c r="F5" s="42"/>
      <c r="G5" s="42"/>
      <c r="H5" s="42"/>
      <c r="I5" s="43"/>
    </row>
    <row r="6" spans="1:22">
      <c r="A6" s="41"/>
      <c r="B6" s="42"/>
      <c r="C6" s="42"/>
      <c r="D6" s="42"/>
      <c r="E6" s="42"/>
      <c r="F6" s="42"/>
      <c r="G6" s="42"/>
      <c r="H6" s="42"/>
      <c r="I6" s="43"/>
    </row>
    <row r="7" spans="1:22">
      <c r="A7" s="41"/>
      <c r="B7" s="42"/>
      <c r="C7" s="42"/>
      <c r="D7" s="42"/>
      <c r="E7" s="42"/>
      <c r="F7" s="42"/>
      <c r="G7" s="42"/>
      <c r="H7" s="42"/>
      <c r="I7" s="43"/>
    </row>
    <row r="8" spans="1:22">
      <c r="A8" s="41"/>
      <c r="B8" s="42"/>
      <c r="C8" s="42"/>
      <c r="D8" s="42"/>
      <c r="E8" s="42"/>
      <c r="F8" s="42"/>
      <c r="G8" s="42"/>
      <c r="H8" s="42"/>
      <c r="I8" s="43"/>
    </row>
    <row r="9" spans="1:22">
      <c r="A9" s="41"/>
      <c r="B9" s="42"/>
      <c r="C9" s="42"/>
      <c r="D9" s="42"/>
      <c r="E9" s="42"/>
      <c r="F9" s="42"/>
      <c r="G9" s="42"/>
      <c r="H9" s="42"/>
      <c r="I9" s="43"/>
    </row>
    <row r="10" spans="1:22">
      <c r="A10" s="41"/>
      <c r="B10" s="42"/>
      <c r="C10" s="42"/>
      <c r="D10" s="42"/>
      <c r="E10" s="42"/>
      <c r="F10" s="42"/>
      <c r="G10" s="42"/>
      <c r="H10" s="42"/>
      <c r="I10" s="43"/>
    </row>
    <row r="11" spans="1:22">
      <c r="A11" s="41"/>
      <c r="B11" s="42"/>
      <c r="C11" s="42"/>
      <c r="D11" s="42"/>
      <c r="E11" s="42"/>
      <c r="F11" s="42"/>
      <c r="G11" s="42"/>
      <c r="H11" s="42"/>
      <c r="I11" s="43"/>
    </row>
    <row r="12" spans="1:22">
      <c r="A12" s="41"/>
      <c r="B12" s="42"/>
      <c r="C12" s="42"/>
      <c r="D12" s="42"/>
      <c r="E12" s="42"/>
      <c r="F12" s="42"/>
      <c r="G12" s="42"/>
      <c r="H12" s="42"/>
      <c r="I12" s="43"/>
    </row>
    <row r="13" spans="1:22">
      <c r="A13" s="41"/>
      <c r="B13" s="42"/>
      <c r="C13" s="42"/>
      <c r="D13" s="42"/>
      <c r="E13" s="42"/>
      <c r="F13" s="42"/>
      <c r="G13" s="42"/>
      <c r="H13" s="42"/>
      <c r="I13" s="43"/>
    </row>
    <row r="14" spans="1:22">
      <c r="A14" s="41"/>
      <c r="B14" s="42"/>
      <c r="C14" s="42"/>
      <c r="D14" s="42"/>
      <c r="E14" s="42"/>
      <c r="F14" s="42"/>
      <c r="G14" s="42"/>
      <c r="H14" s="42"/>
      <c r="I14" s="43"/>
    </row>
    <row r="15" spans="1:22">
      <c r="A15" s="41"/>
      <c r="B15" s="42"/>
      <c r="C15" s="42"/>
      <c r="D15" s="42"/>
      <c r="E15" s="42"/>
      <c r="F15" s="42"/>
      <c r="G15" s="42"/>
      <c r="H15" s="42"/>
      <c r="I15" s="43"/>
    </row>
    <row r="16" spans="1:22">
      <c r="A16" s="41"/>
      <c r="B16" s="42"/>
      <c r="C16" s="42"/>
      <c r="D16" s="42"/>
      <c r="E16" s="42"/>
      <c r="F16" s="42"/>
      <c r="G16" s="42"/>
      <c r="H16" s="42"/>
      <c r="I16" s="43"/>
    </row>
    <row r="17" spans="1:9">
      <c r="A17" s="41"/>
      <c r="B17" s="42"/>
      <c r="C17" s="42"/>
      <c r="D17" s="42"/>
      <c r="E17" s="42"/>
      <c r="F17" s="42"/>
      <c r="G17" s="42"/>
      <c r="H17" s="42"/>
      <c r="I17" s="43"/>
    </row>
    <row r="18" spans="1:9">
      <c r="A18" s="41"/>
      <c r="B18" s="42"/>
      <c r="C18" s="42"/>
      <c r="D18" s="42"/>
      <c r="E18" s="42"/>
      <c r="F18" s="42"/>
      <c r="G18" s="42"/>
      <c r="H18" s="42"/>
      <c r="I18" s="43"/>
    </row>
    <row r="19" spans="1:9">
      <c r="A19" s="41"/>
      <c r="B19" s="42"/>
      <c r="C19" s="42"/>
      <c r="D19" s="42"/>
      <c r="E19" s="42"/>
      <c r="F19" s="42"/>
      <c r="G19" s="42"/>
      <c r="H19" s="42"/>
      <c r="I19" s="43"/>
    </row>
    <row r="20" spans="1:9">
      <c r="A20" s="41"/>
      <c r="B20" s="42"/>
      <c r="C20" s="42"/>
      <c r="D20" s="42"/>
      <c r="E20" s="42"/>
      <c r="F20" s="42"/>
      <c r="G20" s="42"/>
      <c r="H20" s="42"/>
      <c r="I20" s="43"/>
    </row>
    <row r="21" spans="1:9">
      <c r="A21" s="41"/>
      <c r="B21" s="42"/>
      <c r="C21" s="42"/>
      <c r="D21" s="42"/>
      <c r="E21" s="42"/>
      <c r="F21" s="42"/>
      <c r="G21" s="42"/>
      <c r="H21" s="42"/>
      <c r="I21" s="43"/>
    </row>
    <row r="22" spans="1:9">
      <c r="A22" s="41"/>
      <c r="B22" s="42"/>
      <c r="C22" s="42"/>
      <c r="D22" s="42"/>
      <c r="E22" s="42"/>
      <c r="F22" s="42"/>
      <c r="G22" s="42"/>
      <c r="H22" s="42"/>
      <c r="I22" s="43"/>
    </row>
    <row r="23" spans="1:9">
      <c r="A23" s="41"/>
      <c r="B23" s="42"/>
      <c r="C23" s="42"/>
      <c r="D23" s="42"/>
      <c r="E23" s="42"/>
      <c r="F23" s="42"/>
      <c r="G23" s="42"/>
      <c r="H23" s="42"/>
      <c r="I23" s="43"/>
    </row>
    <row r="24" spans="1:9">
      <c r="A24" s="41"/>
      <c r="B24" s="42"/>
      <c r="C24" s="42"/>
      <c r="D24" s="42"/>
      <c r="E24" s="42"/>
      <c r="F24" s="42"/>
      <c r="G24" s="42"/>
      <c r="H24" s="42"/>
      <c r="I24" s="43"/>
    </row>
    <row r="25" spans="1:9">
      <c r="A25" s="41"/>
      <c r="B25" s="42"/>
      <c r="C25" s="42"/>
      <c r="D25" s="42"/>
      <c r="E25" s="42"/>
      <c r="F25" s="42"/>
      <c r="G25" s="42"/>
      <c r="H25" s="42"/>
      <c r="I25" s="43"/>
    </row>
    <row r="26" spans="1:9">
      <c r="A26" s="41"/>
      <c r="B26" s="42"/>
      <c r="C26" s="42"/>
      <c r="D26" s="42"/>
      <c r="E26" s="42"/>
      <c r="F26" s="42"/>
      <c r="G26" s="42"/>
      <c r="H26" s="42"/>
      <c r="I26" s="43"/>
    </row>
    <row r="27" spans="1:9">
      <c r="A27" s="41"/>
      <c r="B27" s="42"/>
      <c r="C27" s="42"/>
      <c r="D27" s="42"/>
      <c r="E27" s="42"/>
      <c r="F27" s="42"/>
      <c r="G27" s="42"/>
      <c r="H27" s="42"/>
      <c r="I27" s="43"/>
    </row>
    <row r="28" spans="1:9">
      <c r="A28" s="41"/>
      <c r="B28" s="42"/>
      <c r="C28" s="42"/>
      <c r="D28" s="42"/>
      <c r="E28" s="42"/>
      <c r="F28" s="42"/>
      <c r="G28" s="42"/>
      <c r="H28" s="42"/>
      <c r="I28" s="43"/>
    </row>
    <row r="29" spans="1:9">
      <c r="A29" s="41"/>
      <c r="B29" s="42"/>
      <c r="C29" s="42"/>
      <c r="D29" s="42"/>
      <c r="E29" s="42"/>
      <c r="F29" s="42"/>
      <c r="G29" s="42"/>
      <c r="H29" s="42"/>
      <c r="I29" s="43"/>
    </row>
    <row r="30" spans="1:9">
      <c r="A30" s="41"/>
      <c r="B30" s="42"/>
      <c r="C30" s="42"/>
      <c r="D30" s="42"/>
      <c r="E30" s="42"/>
      <c r="F30" s="42"/>
      <c r="G30" s="42"/>
      <c r="H30" s="42"/>
      <c r="I30" s="43"/>
    </row>
    <row r="31" spans="1:9">
      <c r="A31" s="41"/>
      <c r="B31" s="42"/>
      <c r="C31" s="42"/>
      <c r="D31" s="42"/>
      <c r="E31" s="42"/>
      <c r="F31" s="42"/>
      <c r="G31" s="42"/>
      <c r="H31" s="42"/>
      <c r="I31" s="43"/>
    </row>
    <row r="32" spans="1:9">
      <c r="A32" s="41"/>
      <c r="B32" s="42"/>
      <c r="C32" s="42"/>
      <c r="D32" s="42"/>
      <c r="E32" s="42"/>
      <c r="F32" s="42"/>
      <c r="G32" s="42"/>
      <c r="H32" s="42"/>
      <c r="I32" s="43"/>
    </row>
    <row r="33" spans="1:9">
      <c r="A33" s="41"/>
      <c r="B33" s="42"/>
      <c r="C33" s="42"/>
      <c r="D33" s="42"/>
      <c r="E33" s="42"/>
      <c r="F33" s="42"/>
      <c r="G33" s="42"/>
      <c r="H33" s="42"/>
      <c r="I33" s="43"/>
    </row>
    <row r="34" spans="1:9">
      <c r="A34" s="41"/>
      <c r="B34" s="42"/>
      <c r="C34" s="42"/>
      <c r="D34" s="42"/>
      <c r="E34" s="42"/>
      <c r="F34" s="42"/>
      <c r="G34" s="42"/>
      <c r="H34" s="42"/>
      <c r="I34" s="43"/>
    </row>
    <row r="35" spans="1:9">
      <c r="A35" s="41"/>
      <c r="B35" s="42"/>
      <c r="C35" s="42"/>
      <c r="D35" s="42"/>
      <c r="E35" s="42"/>
      <c r="F35" s="42"/>
      <c r="G35" s="42"/>
      <c r="H35" s="42"/>
      <c r="I35" s="43"/>
    </row>
    <row r="36" spans="1:9">
      <c r="A36" s="41"/>
      <c r="B36" s="42"/>
      <c r="C36" s="42"/>
      <c r="D36" s="42"/>
      <c r="E36" s="42"/>
      <c r="F36" s="42"/>
      <c r="G36" s="42"/>
      <c r="H36" s="42"/>
      <c r="I36" s="43"/>
    </row>
    <row r="37" spans="1:9">
      <c r="A37" s="41"/>
      <c r="B37" s="42"/>
      <c r="C37" s="42"/>
      <c r="D37" s="42"/>
      <c r="E37" s="42"/>
      <c r="F37" s="42"/>
      <c r="G37" s="42"/>
      <c r="H37" s="42"/>
      <c r="I37" s="43"/>
    </row>
    <row r="38" spans="1:9">
      <c r="A38" s="41"/>
      <c r="B38" s="42"/>
      <c r="C38" s="42"/>
      <c r="D38" s="42"/>
      <c r="E38" s="42"/>
      <c r="F38" s="42"/>
      <c r="G38" s="42"/>
      <c r="H38" s="42"/>
      <c r="I38" s="43"/>
    </row>
    <row r="39" spans="1:9">
      <c r="A39" s="41"/>
      <c r="B39" s="42"/>
      <c r="C39" s="42"/>
      <c r="D39" s="42"/>
      <c r="E39" s="42"/>
      <c r="F39" s="42"/>
      <c r="G39" s="42"/>
      <c r="H39" s="42"/>
      <c r="I39" s="43"/>
    </row>
    <row r="40" spans="1:9">
      <c r="A40" s="41"/>
      <c r="B40" s="42"/>
      <c r="C40" s="42"/>
      <c r="D40" s="42"/>
      <c r="E40" s="42"/>
      <c r="F40" s="42"/>
      <c r="G40" s="42"/>
      <c r="H40" s="42"/>
      <c r="I40" s="43"/>
    </row>
    <row r="41" spans="1:9">
      <c r="A41" s="41"/>
      <c r="B41" s="42"/>
      <c r="C41" s="42"/>
      <c r="D41" s="42"/>
      <c r="E41" s="42"/>
      <c r="F41" s="42"/>
      <c r="G41" s="42"/>
      <c r="H41" s="42"/>
      <c r="I41" s="43"/>
    </row>
    <row r="42" spans="1:9">
      <c r="A42" s="41"/>
      <c r="B42" s="42"/>
      <c r="C42" s="42"/>
      <c r="D42" s="42"/>
      <c r="E42" s="42"/>
      <c r="F42" s="42"/>
      <c r="G42" s="42"/>
      <c r="H42" s="42"/>
      <c r="I42" s="43"/>
    </row>
    <row r="43" spans="1:9">
      <c r="A43" s="41"/>
      <c r="B43" s="42"/>
      <c r="C43" s="42"/>
      <c r="D43" s="42"/>
      <c r="E43" s="42"/>
      <c r="F43" s="42"/>
      <c r="G43" s="42"/>
      <c r="H43" s="42"/>
      <c r="I43" s="43"/>
    </row>
    <row r="44" spans="1:9">
      <c r="A44" s="41"/>
      <c r="B44" s="42"/>
      <c r="C44" s="42"/>
      <c r="D44" s="42"/>
      <c r="E44" s="42"/>
      <c r="F44" s="42"/>
      <c r="G44" s="42"/>
      <c r="H44" s="42"/>
      <c r="I44" s="43"/>
    </row>
    <row r="45" spans="1:9">
      <c r="A45" s="41"/>
      <c r="B45" s="42"/>
      <c r="C45" s="42"/>
      <c r="D45" s="42"/>
      <c r="E45" s="42"/>
      <c r="F45" s="42"/>
      <c r="G45" s="42"/>
      <c r="H45" s="42"/>
      <c r="I45" s="43"/>
    </row>
    <row r="46" spans="1:9">
      <c r="A46" s="41"/>
      <c r="B46" s="42"/>
      <c r="C46" s="42"/>
      <c r="D46" s="42"/>
      <c r="E46" s="42"/>
      <c r="F46" s="42"/>
      <c r="G46" s="42"/>
      <c r="H46" s="42"/>
      <c r="I46" s="43"/>
    </row>
    <row r="47" spans="1:9">
      <c r="A47" s="41"/>
      <c r="B47" s="42"/>
      <c r="C47" s="42"/>
      <c r="D47" s="42"/>
      <c r="E47" s="42"/>
      <c r="F47" s="42"/>
      <c r="G47" s="42"/>
      <c r="H47" s="42"/>
      <c r="I47" s="43"/>
    </row>
    <row r="48" spans="1:9">
      <c r="A48" s="41"/>
      <c r="B48" s="42"/>
      <c r="C48" s="42"/>
      <c r="D48" s="42"/>
      <c r="E48" s="42"/>
      <c r="F48" s="42"/>
      <c r="G48" s="42"/>
      <c r="H48" s="42"/>
      <c r="I48" s="43"/>
    </row>
    <row r="49" spans="1:9">
      <c r="A49" s="41"/>
      <c r="B49" s="42"/>
      <c r="C49" s="42"/>
      <c r="D49" s="42"/>
      <c r="E49" s="42"/>
      <c r="F49" s="42"/>
      <c r="G49" s="42"/>
      <c r="H49" s="42"/>
      <c r="I49" s="43"/>
    </row>
    <row r="50" spans="1:9">
      <c r="A50" s="41"/>
      <c r="B50" s="42"/>
      <c r="C50" s="42"/>
      <c r="D50" s="42"/>
      <c r="E50" s="42"/>
      <c r="F50" s="42"/>
      <c r="G50" s="42"/>
      <c r="H50" s="42"/>
      <c r="I50" s="43"/>
    </row>
    <row r="51" spans="1:9">
      <c r="A51" s="41"/>
      <c r="B51" s="42"/>
      <c r="C51" s="42"/>
      <c r="D51" s="42"/>
      <c r="E51" s="42"/>
      <c r="F51" s="42"/>
      <c r="G51" s="42"/>
      <c r="H51" s="42"/>
      <c r="I51" s="43"/>
    </row>
    <row r="52" spans="1:9">
      <c r="A52" s="41"/>
      <c r="B52" s="42"/>
      <c r="C52" s="42"/>
      <c r="D52" s="42"/>
      <c r="E52" s="42"/>
      <c r="F52" s="42"/>
      <c r="G52" s="42"/>
      <c r="H52" s="42"/>
      <c r="I52" s="43"/>
    </row>
    <row r="53" spans="1:9">
      <c r="A53" s="41"/>
      <c r="B53" s="42"/>
      <c r="C53" s="42"/>
      <c r="D53" s="42"/>
      <c r="E53" s="42"/>
      <c r="F53" s="42"/>
      <c r="G53" s="42"/>
      <c r="H53" s="42"/>
      <c r="I53" s="43"/>
    </row>
    <row r="54" spans="1:9">
      <c r="A54" s="41"/>
      <c r="B54" s="42"/>
      <c r="C54" s="42"/>
      <c r="D54" s="42"/>
      <c r="E54" s="42"/>
      <c r="F54" s="42"/>
      <c r="G54" s="42"/>
      <c r="H54" s="42"/>
      <c r="I54" s="43"/>
    </row>
    <row r="55" spans="1:9">
      <c r="A55" s="41"/>
      <c r="B55" s="42"/>
      <c r="C55" s="42"/>
      <c r="D55" s="42"/>
      <c r="E55" s="42"/>
      <c r="F55" s="42"/>
      <c r="G55" s="42"/>
      <c r="H55" s="42"/>
      <c r="I55" s="43"/>
    </row>
    <row r="56" spans="1:9">
      <c r="A56" s="41"/>
      <c r="B56" s="42"/>
      <c r="C56" s="42"/>
      <c r="D56" s="42"/>
      <c r="E56" s="42"/>
      <c r="F56" s="42"/>
      <c r="G56" s="42"/>
      <c r="H56" s="42"/>
      <c r="I56" s="43"/>
    </row>
    <row r="57" spans="1:9">
      <c r="A57" s="41"/>
      <c r="B57" s="42"/>
      <c r="C57" s="42"/>
      <c r="D57" s="42"/>
      <c r="E57" s="42"/>
      <c r="F57" s="42"/>
      <c r="G57" s="42"/>
      <c r="H57" s="42"/>
      <c r="I57" s="43"/>
    </row>
    <row r="58" spans="1:9">
      <c r="A58" s="41"/>
      <c r="B58" s="42"/>
      <c r="C58" s="42"/>
      <c r="D58" s="42"/>
      <c r="E58" s="42"/>
      <c r="F58" s="42"/>
      <c r="G58" s="42"/>
      <c r="H58" s="42"/>
      <c r="I58" s="43"/>
    </row>
    <row r="59" spans="1:9">
      <c r="A59" s="41"/>
      <c r="B59" s="42"/>
      <c r="C59" s="42"/>
      <c r="D59" s="42"/>
      <c r="E59" s="42"/>
      <c r="F59" s="42"/>
      <c r="G59" s="42"/>
      <c r="H59" s="42"/>
      <c r="I59" s="43"/>
    </row>
    <row r="60" spans="1:9">
      <c r="A60" s="41"/>
      <c r="B60" s="42"/>
      <c r="C60" s="42"/>
      <c r="D60" s="42"/>
      <c r="E60" s="42"/>
      <c r="F60" s="42"/>
      <c r="G60" s="42"/>
      <c r="H60" s="42"/>
      <c r="I60" s="43"/>
    </row>
  </sheetData>
  <autoFilter xmlns:etc="http://www.wps.cn/officeDocument/2017/etCustomData" ref="D1:O60" etc:filterBottomFollowUsedRange="0">
    <extLst/>
  </autoFilter>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9233" name="Button 17" r:id="rId4">
              <controlPr print="0" defaultSize="0">
                <anchor moveWithCells="1" sizeWithCells="1">
                  <from>
                    <xdr:col>15</xdr:col>
                    <xdr:colOff>236220</xdr:colOff>
                    <xdr:row>0</xdr:row>
                    <xdr:rowOff>152400</xdr:rowOff>
                  </from>
                  <to>
                    <xdr:col>17</xdr:col>
                    <xdr:colOff>144780</xdr:colOff>
                    <xdr:row>0</xdr:row>
                    <xdr:rowOff>502920</xdr:rowOff>
                  </to>
                </anchor>
              </controlPr>
            </control>
          </mc:Choice>
        </mc:AlternateContent>
        <mc:AlternateContent xmlns:mc="http://schemas.openxmlformats.org/markup-compatibility/2006">
          <mc:Choice Requires="x14">
            <control shapeId="9234" name="Button 18" r:id="rId5">
              <controlPr print="0" defaultSize="0">
                <anchor moveWithCells="1" sizeWithCells="1">
                  <from>
                    <xdr:col>17</xdr:col>
                    <xdr:colOff>274320</xdr:colOff>
                    <xdr:row>0</xdr:row>
                    <xdr:rowOff>152400</xdr:rowOff>
                  </from>
                  <to>
                    <xdr:col>20</xdr:col>
                    <xdr:colOff>198120</xdr:colOff>
                    <xdr:row>0</xdr:row>
                    <xdr:rowOff>502920</xdr:rowOff>
                  </to>
                </anchor>
              </controlPr>
            </control>
          </mc:Choice>
        </mc:AlternateContent>
        <mc:AlternateContent xmlns:mc="http://schemas.openxmlformats.org/markup-compatibility/2006">
          <mc:Choice Requires="x14">
            <control shapeId="9236" name="Button 20" r:id="rId6">
              <controlPr print="0" defaultSize="0">
                <anchor moveWithCells="1" sizeWithCells="1">
                  <from>
                    <xdr:col>22</xdr:col>
                    <xdr:colOff>137160</xdr:colOff>
                    <xdr:row>0</xdr:row>
                    <xdr:rowOff>243840</xdr:rowOff>
                  </from>
                  <to>
                    <xdr:col>25</xdr:col>
                    <xdr:colOff>60960</xdr:colOff>
                    <xdr:row>0</xdr:row>
                    <xdr:rowOff>594360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5B9BD5"/>
  </sheetPr>
  <dimension ref="A1:F1"/>
  <sheetViews>
    <sheetView workbookViewId="0">
      <pane ySplit="1" topLeftCell="A2" activePane="bottomLeft" state="frozen"/>
      <selection/>
      <selection pane="bottomLeft" activeCell="A1" sqref="A1"/>
    </sheetView>
  </sheetViews>
  <sheetFormatPr defaultColWidth="9" defaultRowHeight="13.5" outlineLevelCol="5"/>
  <cols>
    <col min="1" max="6" width="14" customWidth="1"/>
  </cols>
  <sheetData>
    <row r="1" ht="22.05" customHeight="1" spans="1:6">
      <c r="A1" s="5" t="s">
        <v>880</v>
      </c>
      <c r="B1" s="5" t="s">
        <v>25</v>
      </c>
      <c r="C1" s="6" t="s">
        <v>1016</v>
      </c>
      <c r="D1" s="5" t="s">
        <v>884</v>
      </c>
      <c r="E1" s="6" t="s">
        <v>1017</v>
      </c>
      <c r="F1" s="6" t="s">
        <v>1018</v>
      </c>
    </row>
  </sheetData>
  <autoFilter xmlns:etc="http://www.wps.cn/officeDocument/2017/etCustomData" ref="A1:F1" etc:filterBottomFollowUsedRange="0">
    <extLst/>
  </autoFilter>
  <pageMargins left="0.75" right="0.75" top="1" bottom="1" header="0.5" footer="0.5"/>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5B9BD5"/>
  </sheetPr>
  <dimension ref="A1:G1"/>
  <sheetViews>
    <sheetView workbookViewId="0">
      <pane ySplit="1" topLeftCell="A2" activePane="bottomLeft" state="frozen"/>
      <selection/>
      <selection pane="bottomLeft" activeCell="A1" sqref="A1"/>
    </sheetView>
  </sheetViews>
  <sheetFormatPr defaultColWidth="9" defaultRowHeight="13.5" outlineLevelCol="6"/>
  <cols>
    <col min="1" max="7" width="14" customWidth="1"/>
  </cols>
  <sheetData>
    <row r="1" ht="22.05" customHeight="1" spans="1:7">
      <c r="A1" s="6" t="s">
        <v>1019</v>
      </c>
      <c r="B1" s="5" t="s">
        <v>1020</v>
      </c>
      <c r="C1" s="6" t="s">
        <v>1021</v>
      </c>
      <c r="D1" s="6" t="s">
        <v>47</v>
      </c>
      <c r="E1" s="5" t="s">
        <v>880</v>
      </c>
      <c r="F1" s="5" t="s">
        <v>885</v>
      </c>
      <c r="G1" s="5" t="s">
        <v>1018</v>
      </c>
    </row>
  </sheetData>
  <autoFilter xmlns:etc="http://www.wps.cn/officeDocument/2017/etCustomData" ref="A1:G1" etc:filterBottomFollowUsedRange="0">
    <extLst/>
  </autoFilter>
  <pageMargins left="0.75" right="0.75" top="1" bottom="1" header="0.5" footer="0.5"/>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5B9BD5"/>
  </sheetPr>
  <dimension ref="A1:G1"/>
  <sheetViews>
    <sheetView workbookViewId="0">
      <pane ySplit="1" topLeftCell="A2" activePane="bottomLeft" state="frozen"/>
      <selection/>
      <selection pane="bottomLeft" activeCell="A1" sqref="A1"/>
    </sheetView>
  </sheetViews>
  <sheetFormatPr defaultColWidth="9" defaultRowHeight="13.5" outlineLevelCol="6"/>
  <cols>
    <col min="1" max="7" width="14" customWidth="1"/>
  </cols>
  <sheetData>
    <row r="1" ht="22.05" customHeight="1" spans="1:7">
      <c r="A1" s="6" t="s">
        <v>1019</v>
      </c>
      <c r="B1" s="5" t="s">
        <v>1020</v>
      </c>
      <c r="C1" s="6" t="s">
        <v>1021</v>
      </c>
      <c r="D1" s="6" t="s">
        <v>47</v>
      </c>
      <c r="E1" s="5" t="s">
        <v>880</v>
      </c>
      <c r="F1" s="5" t="s">
        <v>885</v>
      </c>
      <c r="G1" s="5" t="s">
        <v>1018</v>
      </c>
    </row>
  </sheetData>
  <autoFilter xmlns:etc="http://www.wps.cn/officeDocument/2017/etCustomData" ref="A1:G1" etc:filterBottomFollowUsedRange="0">
    <extLst/>
  </autoFilter>
  <pageMargins left="0.75" right="0.75" top="1" bottom="1" header="0.5" footer="0.5"/>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5B9BD5"/>
  </sheetPr>
  <dimension ref="A1:N5"/>
  <sheetViews>
    <sheetView workbookViewId="0">
      <pane ySplit="1" topLeftCell="A2" activePane="bottomLeft" state="frozen"/>
      <selection/>
      <selection pane="bottomLeft" activeCell="L8" sqref="L8"/>
    </sheetView>
  </sheetViews>
  <sheetFormatPr defaultColWidth="9" defaultRowHeight="13.5" outlineLevelRow="4"/>
  <cols>
    <col min="1" max="14" width="14" customWidth="1"/>
  </cols>
  <sheetData>
    <row r="1" ht="68" customHeight="1" spans="1:14">
      <c r="A1" s="6" t="s">
        <v>1022</v>
      </c>
      <c r="B1" s="5" t="s">
        <v>1023</v>
      </c>
      <c r="C1" s="6" t="s">
        <v>1024</v>
      </c>
      <c r="D1" s="6" t="s">
        <v>1025</v>
      </c>
      <c r="E1" s="6" t="s">
        <v>1026</v>
      </c>
      <c r="F1" s="5" t="s">
        <v>1027</v>
      </c>
      <c r="G1" s="6" t="s">
        <v>1028</v>
      </c>
      <c r="H1" s="6" t="s">
        <v>1029</v>
      </c>
      <c r="I1" s="6" t="s">
        <v>1030</v>
      </c>
      <c r="J1" s="6" t="s">
        <v>47</v>
      </c>
      <c r="K1" s="5" t="s">
        <v>880</v>
      </c>
      <c r="L1" s="5" t="s">
        <v>885</v>
      </c>
      <c r="M1" s="6" t="s">
        <v>1018</v>
      </c>
      <c r="N1" s="6" t="s">
        <v>1031</v>
      </c>
    </row>
    <row r="2" customFormat="1" ht="56.25" spans="1:14">
      <c r="A2" s="21" t="s">
        <v>1032</v>
      </c>
      <c r="B2" s="31" t="s">
        <v>1033</v>
      </c>
      <c r="C2" t="s">
        <v>1034</v>
      </c>
      <c r="D2" s="32" t="s">
        <v>1035</v>
      </c>
      <c r="E2" t="s">
        <v>862</v>
      </c>
      <c r="F2" s="19" t="s">
        <v>969</v>
      </c>
      <c r="G2">
        <v>6392.04</v>
      </c>
      <c r="H2">
        <v>830.96</v>
      </c>
      <c r="I2" s="33">
        <v>7223</v>
      </c>
      <c r="J2"/>
      <c r="K2" s="34" t="s">
        <v>896</v>
      </c>
      <c r="L2">
        <v>0.04</v>
      </c>
    </row>
    <row r="3" ht="56.25" spans="1:14">
      <c r="A3" s="21" t="s">
        <v>1032</v>
      </c>
      <c r="B3" t="s">
        <v>1036</v>
      </c>
      <c r="C3" t="s">
        <v>1034</v>
      </c>
      <c r="D3" s="32" t="s">
        <v>1035</v>
      </c>
      <c r="E3" t="s">
        <v>862</v>
      </c>
      <c r="F3" s="19" t="s">
        <v>969</v>
      </c>
      <c r="G3">
        <v>1078917.7</v>
      </c>
      <c r="H3">
        <v>140259.3</v>
      </c>
      <c r="I3">
        <v>1219177</v>
      </c>
      <c r="K3" s="34" t="s">
        <v>896</v>
      </c>
      <c r="L3">
        <v>6.97</v>
      </c>
    </row>
    <row r="4" ht="56.25" spans="1:14">
      <c r="A4" s="21" t="s">
        <v>1037</v>
      </c>
      <c r="B4" t="s">
        <v>1038</v>
      </c>
      <c r="C4" t="s">
        <v>1034</v>
      </c>
      <c r="D4" s="32" t="s">
        <v>1035</v>
      </c>
      <c r="E4" t="s">
        <v>862</v>
      </c>
      <c r="F4" s="19" t="s">
        <v>969</v>
      </c>
      <c r="G4">
        <v>326548.67</v>
      </c>
      <c r="H4">
        <v>42451.33</v>
      </c>
      <c r="I4">
        <v>369000</v>
      </c>
      <c r="K4" s="34" t="s">
        <v>896</v>
      </c>
      <c r="L4">
        <v>2.11</v>
      </c>
    </row>
    <row r="5" ht="56.25" spans="1:14">
      <c r="A5" s="21" t="s">
        <v>1039</v>
      </c>
      <c r="B5" t="s">
        <v>1040</v>
      </c>
      <c r="C5" t="s">
        <v>1034</v>
      </c>
      <c r="D5" s="32" t="s">
        <v>1035</v>
      </c>
      <c r="E5" t="s">
        <v>862</v>
      </c>
      <c r="F5" s="19" t="s">
        <v>969</v>
      </c>
      <c r="G5">
        <v>136814.16</v>
      </c>
      <c r="H5">
        <v>17785.84</v>
      </c>
      <c r="I5">
        <v>154600</v>
      </c>
      <c r="K5" s="34" t="s">
        <v>896</v>
      </c>
      <c r="L5">
        <v>0.88</v>
      </c>
    </row>
  </sheetData>
  <autoFilter xmlns:etc="http://www.wps.cn/officeDocument/2017/etCustomData" ref="A1:N5" etc:filterBottomFollowUsedRange="0">
    <extLst/>
  </autoFilter>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13327" name="Button 15" r:id="rId4">
              <controlPr print="0" defaultSize="0">
                <anchor moveWithCells="1" sizeWithCells="1">
                  <from>
                    <xdr:col>11</xdr:col>
                    <xdr:colOff>1057275</xdr:colOff>
                    <xdr:row>0</xdr:row>
                    <xdr:rowOff>87630</xdr:rowOff>
                  </from>
                  <to>
                    <xdr:col>13</xdr:col>
                    <xdr:colOff>592455</xdr:colOff>
                    <xdr:row>0</xdr:row>
                    <xdr:rowOff>689610</xdr:rowOff>
                  </to>
                </anchor>
              </controlPr>
            </control>
          </mc:Choice>
        </mc:AlternateContent>
        <mc:AlternateContent xmlns:mc="http://schemas.openxmlformats.org/markup-compatibility/2006">
          <mc:Choice Requires="x14">
            <control shapeId="13328" name="Button 16" r:id="rId5">
              <controlPr print="0" defaultSize="0">
                <anchor moveWithCells="1" sizeWithCells="1">
                  <from>
                    <xdr:col>14</xdr:col>
                    <xdr:colOff>97155</xdr:colOff>
                    <xdr:row>0</xdr:row>
                    <xdr:rowOff>57150</xdr:rowOff>
                  </from>
                  <to>
                    <xdr:col>16</xdr:col>
                    <xdr:colOff>394335</xdr:colOff>
                    <xdr:row>0</xdr:row>
                    <xdr:rowOff>659130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5B9BD5"/>
  </sheetPr>
  <dimension ref="A1:N1"/>
  <sheetViews>
    <sheetView workbookViewId="0">
      <pane ySplit="1" topLeftCell="A2" activePane="bottomLeft" state="frozen"/>
      <selection/>
      <selection pane="bottomLeft" activeCell="A1" sqref="A1"/>
    </sheetView>
  </sheetViews>
  <sheetFormatPr defaultColWidth="9" defaultRowHeight="13.5"/>
  <cols>
    <col min="1" max="14" width="14" customWidth="1"/>
  </cols>
  <sheetData>
    <row r="1" ht="22.05" customHeight="1" spans="1:14">
      <c r="A1" s="6" t="s">
        <v>1022</v>
      </c>
      <c r="B1" s="5" t="s">
        <v>1023</v>
      </c>
      <c r="C1" s="6" t="s">
        <v>1024</v>
      </c>
      <c r="D1" s="6" t="s">
        <v>1025</v>
      </c>
      <c r="E1" s="6" t="s">
        <v>1026</v>
      </c>
      <c r="F1" s="5" t="s">
        <v>1027</v>
      </c>
      <c r="G1" s="6" t="s">
        <v>1028</v>
      </c>
      <c r="H1" s="6" t="s">
        <v>1029</v>
      </c>
      <c r="I1" s="6" t="s">
        <v>1030</v>
      </c>
      <c r="J1" s="6" t="s">
        <v>47</v>
      </c>
      <c r="K1" s="5" t="s">
        <v>880</v>
      </c>
      <c r="L1" s="5" t="s">
        <v>885</v>
      </c>
      <c r="M1" s="6" t="s">
        <v>1018</v>
      </c>
      <c r="N1" s="6" t="s">
        <v>1031</v>
      </c>
    </row>
  </sheetData>
  <autoFilter xmlns:etc="http://www.wps.cn/officeDocument/2017/etCustomData" ref="A1:N1" etc:filterBottomFollowUsedRange="0">
    <extLst/>
  </autoFilter>
  <pageMargins left="0.75" right="0.75" top="1" bottom="1" header="0.5" footer="0.5"/>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5B9BD5"/>
  </sheetPr>
  <dimension ref="A1:I1"/>
  <sheetViews>
    <sheetView workbookViewId="0">
      <pane ySplit="1" topLeftCell="A2" activePane="bottomLeft" state="frozen"/>
      <selection/>
      <selection pane="bottomLeft" activeCell="A1" sqref="A1"/>
    </sheetView>
  </sheetViews>
  <sheetFormatPr defaultColWidth="9" defaultRowHeight="13.5"/>
  <cols>
    <col min="1" max="9" width="14" customWidth="1"/>
  </cols>
  <sheetData>
    <row r="1" ht="22.05" customHeight="1" spans="1:9">
      <c r="A1" s="6" t="s">
        <v>1022</v>
      </c>
      <c r="B1" s="6" t="s">
        <v>1021</v>
      </c>
      <c r="C1" s="6" t="s">
        <v>1026</v>
      </c>
      <c r="D1" s="5" t="s">
        <v>1027</v>
      </c>
      <c r="E1" s="5" t="s">
        <v>1041</v>
      </c>
      <c r="F1" s="5" t="s">
        <v>1042</v>
      </c>
      <c r="G1" s="5" t="s">
        <v>924</v>
      </c>
      <c r="H1" s="6" t="s">
        <v>1043</v>
      </c>
      <c r="I1" s="6" t="s">
        <v>47</v>
      </c>
    </row>
  </sheetData>
  <autoFilter xmlns:etc="http://www.wps.cn/officeDocument/2017/etCustomData" ref="A1:I1" etc:filterBottomFollowUsedRange="0">
    <extLst/>
  </autoFilter>
  <pageMargins left="0.75" right="0.75" top="1" bottom="1" header="0.5" footer="0.5"/>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5B9BD5"/>
  </sheetPr>
  <dimension ref="A1:I1"/>
  <sheetViews>
    <sheetView workbookViewId="0">
      <pane ySplit="1" topLeftCell="A2" activePane="bottomLeft" state="frozen"/>
      <selection/>
      <selection pane="bottomLeft" activeCell="A1" sqref="A1"/>
    </sheetView>
  </sheetViews>
  <sheetFormatPr defaultColWidth="9" defaultRowHeight="13.5"/>
  <cols>
    <col min="1" max="9" width="14" customWidth="1"/>
  </cols>
  <sheetData>
    <row r="1" ht="22.05" customHeight="1" spans="1:9">
      <c r="A1" s="6" t="s">
        <v>1044</v>
      </c>
      <c r="B1" s="6" t="s">
        <v>1021</v>
      </c>
      <c r="C1" s="6" t="s">
        <v>1026</v>
      </c>
      <c r="D1" s="5" t="s">
        <v>1027</v>
      </c>
      <c r="E1" s="5" t="s">
        <v>1041</v>
      </c>
      <c r="F1" s="5" t="s">
        <v>1042</v>
      </c>
      <c r="G1" s="5" t="s">
        <v>924</v>
      </c>
      <c r="H1" s="6" t="s">
        <v>1043</v>
      </c>
      <c r="I1" s="6" t="s">
        <v>47</v>
      </c>
    </row>
  </sheetData>
  <autoFilter xmlns:etc="http://www.wps.cn/officeDocument/2017/etCustomData" ref="A1:I1" etc:filterBottomFollowUsedRange="0">
    <extLst/>
  </autoFilter>
  <pageMargins left="0.75" right="0.75" top="1" bottom="1" header="0.5" footer="0.5"/>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5B9BD5"/>
  </sheetPr>
  <dimension ref="A1:AK1"/>
  <sheetViews>
    <sheetView workbookViewId="0">
      <pane ySplit="1" topLeftCell="A2" activePane="bottomLeft" state="frozen"/>
      <selection/>
      <selection pane="bottomLeft" activeCell="A1" sqref="A1"/>
    </sheetView>
  </sheetViews>
  <sheetFormatPr defaultColWidth="9" defaultRowHeight="13.5"/>
  <cols>
    <col min="1" max="34" width="14" customWidth="1"/>
    <col min="35" max="35" width="18" customWidth="1"/>
    <col min="36" max="37" width="14" customWidth="1"/>
  </cols>
  <sheetData>
    <row r="1" ht="22.05" customHeight="1" spans="1:37">
      <c r="A1" s="6" t="s">
        <v>1045</v>
      </c>
      <c r="B1" s="6" t="s">
        <v>1046</v>
      </c>
      <c r="C1" s="6" t="s">
        <v>911</v>
      </c>
      <c r="D1" s="6" t="s">
        <v>1047</v>
      </c>
      <c r="E1" s="6" t="s">
        <v>1048</v>
      </c>
      <c r="F1" s="5" t="s">
        <v>880</v>
      </c>
      <c r="G1" s="5" t="s">
        <v>1006</v>
      </c>
      <c r="H1" s="6" t="s">
        <v>1007</v>
      </c>
      <c r="I1" s="6" t="s">
        <v>1016</v>
      </c>
      <c r="J1" s="6" t="s">
        <v>884</v>
      </c>
      <c r="K1" s="5" t="s">
        <v>885</v>
      </c>
      <c r="L1" s="6" t="s">
        <v>1049</v>
      </c>
      <c r="M1" s="6" t="s">
        <v>1010</v>
      </c>
      <c r="N1" s="6" t="s">
        <v>888</v>
      </c>
      <c r="O1" s="6" t="s">
        <v>1050</v>
      </c>
      <c r="P1" s="6" t="s">
        <v>1051</v>
      </c>
      <c r="Q1" s="6" t="s">
        <v>1052</v>
      </c>
      <c r="R1" s="6" t="s">
        <v>889</v>
      </c>
      <c r="S1" s="6" t="s">
        <v>890</v>
      </c>
      <c r="T1" s="6" t="s">
        <v>1053</v>
      </c>
      <c r="U1" s="6" t="s">
        <v>1054</v>
      </c>
      <c r="V1" s="6" t="s">
        <v>1055</v>
      </c>
      <c r="W1" s="6" t="s">
        <v>892</v>
      </c>
      <c r="X1" s="6" t="s">
        <v>1056</v>
      </c>
      <c r="Y1" s="6" t="s">
        <v>1018</v>
      </c>
      <c r="Z1" s="6" t="s">
        <v>1057</v>
      </c>
      <c r="AA1" s="6" t="s">
        <v>1058</v>
      </c>
      <c r="AB1" s="6" t="s">
        <v>1059</v>
      </c>
      <c r="AC1" s="6" t="s">
        <v>1060</v>
      </c>
      <c r="AD1" s="6" t="s">
        <v>1061</v>
      </c>
      <c r="AE1" s="6" t="s">
        <v>1062</v>
      </c>
      <c r="AF1" s="6" t="s">
        <v>1063</v>
      </c>
      <c r="AG1" s="6" t="s">
        <v>918</v>
      </c>
      <c r="AH1" s="6" t="s">
        <v>922</v>
      </c>
      <c r="AI1" s="6" t="s">
        <v>1064</v>
      </c>
      <c r="AJ1" s="6" t="s">
        <v>1065</v>
      </c>
      <c r="AK1" s="6" t="s">
        <v>47</v>
      </c>
    </row>
  </sheetData>
  <autoFilter xmlns:etc="http://www.wps.cn/officeDocument/2017/etCustomData" ref="A1:AK1" etc:filterBottomFollowUsedRange="0">
    <extLst/>
  </autoFilter>
  <pageMargins left="0.75" right="0.75" top="1" bottom="1" header="0.5" footer="0.5"/>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5B9BD5"/>
  </sheetPr>
  <dimension ref="A1:N2"/>
  <sheetViews>
    <sheetView workbookViewId="0">
      <pane ySplit="1" topLeftCell="A2" activePane="bottomLeft" state="frozen"/>
      <selection/>
      <selection pane="bottomLeft" activeCell="E30" sqref="E30"/>
    </sheetView>
  </sheetViews>
  <sheetFormatPr defaultColWidth="9" defaultRowHeight="13.5" outlineLevelRow="1"/>
  <cols>
    <col min="1" max="14" width="14" customWidth="1"/>
  </cols>
  <sheetData>
    <row r="1" ht="22.05" customHeight="1" spans="1:14">
      <c r="A1" s="6" t="s">
        <v>1022</v>
      </c>
      <c r="B1" s="5" t="s">
        <v>1023</v>
      </c>
      <c r="C1" s="6" t="s">
        <v>1024</v>
      </c>
      <c r="D1" s="6" t="s">
        <v>1025</v>
      </c>
      <c r="E1" s="6" t="s">
        <v>1026</v>
      </c>
      <c r="F1" s="5" t="s">
        <v>1027</v>
      </c>
      <c r="G1" s="6" t="s">
        <v>1028</v>
      </c>
      <c r="H1" s="6" t="s">
        <v>1029</v>
      </c>
      <c r="I1" s="6" t="s">
        <v>1030</v>
      </c>
      <c r="J1" s="6" t="s">
        <v>47</v>
      </c>
      <c r="K1" s="5" t="s">
        <v>880</v>
      </c>
      <c r="L1" s="5" t="s">
        <v>885</v>
      </c>
      <c r="M1" s="6" t="s">
        <v>1018</v>
      </c>
      <c r="N1" s="6" t="s">
        <v>1031</v>
      </c>
    </row>
    <row r="2" customFormat="1" ht="56.25" spans="1:14">
      <c r="A2" s="26" t="s">
        <v>1032</v>
      </c>
      <c r="B2" s="27" t="s">
        <v>1036</v>
      </c>
      <c r="C2" s="27" t="s">
        <v>1034</v>
      </c>
      <c r="D2" s="28" t="s">
        <v>1035</v>
      </c>
      <c r="E2" s="27" t="s">
        <v>862</v>
      </c>
      <c r="F2" s="29" t="s">
        <v>969</v>
      </c>
      <c r="G2" s="27">
        <f>ROUND(I2/1.13,2)</f>
        <v>1078917.7</v>
      </c>
      <c r="H2" s="27"/>
      <c r="I2" s="27">
        <v>1219177</v>
      </c>
      <c r="J2" s="27"/>
      <c r="K2" s="30" t="s">
        <v>896</v>
      </c>
      <c r="L2" s="27">
        <v>1</v>
      </c>
      <c r="M2" s="27"/>
      <c r="N2" s="27"/>
    </row>
  </sheetData>
  <autoFilter xmlns:etc="http://www.wps.cn/officeDocument/2017/etCustomData" ref="A1:N2" etc:filterBottomFollowUsedRange="0">
    <extLst/>
  </autoFilter>
  <pageMargins left="0.75" right="0.75" top="1" bottom="1" header="0.5" footer="0.5"/>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C65911"/>
  </sheetPr>
  <dimension ref="A1:XFD22"/>
  <sheetViews>
    <sheetView workbookViewId="0">
      <pane ySplit="2" topLeftCell="A3" activePane="bottomLeft" state="frozen"/>
      <selection/>
      <selection pane="bottomLeft" activeCell="G3" sqref="G3"/>
    </sheetView>
  </sheetViews>
  <sheetFormatPr defaultColWidth="9" defaultRowHeight="13.5"/>
  <cols>
    <col min="1" max="1" width="17" customWidth="1"/>
    <col min="2" max="2" width="27.875" customWidth="1"/>
    <col min="3" max="10" width="14" customWidth="1"/>
    <col min="11" max="11" width="23.1083333333333" customWidth="1"/>
    <col min="12" max="24" width="14" customWidth="1"/>
  </cols>
  <sheetData>
    <row r="1" ht="63" customHeight="1" spans="1:24 16378:16384">
      <c r="A1" s="16" t="s">
        <v>1066</v>
      </c>
      <c r="B1" s="16"/>
      <c r="C1" s="16"/>
      <c r="D1" s="16"/>
      <c r="E1" s="17" t="str">
        <f>VLOOKUP($D$3,客商台账!B1:$C$199,2,FALSE)</f>
        <v>Supplier_085</v>
      </c>
      <c r="F1" s="16"/>
    </row>
    <row r="2" ht="22.05" customHeight="1" spans="1:24 16378:16384">
      <c r="A2" s="5" t="s">
        <v>1027</v>
      </c>
      <c r="B2" s="6" t="s">
        <v>1067</v>
      </c>
      <c r="C2" s="6" t="s">
        <v>913</v>
      </c>
      <c r="D2" s="5" t="s">
        <v>48</v>
      </c>
      <c r="E2" s="5" t="s">
        <v>914</v>
      </c>
      <c r="F2" s="6" t="s">
        <v>915</v>
      </c>
      <c r="G2" s="6" t="s">
        <v>1068</v>
      </c>
      <c r="H2" s="6" t="s">
        <v>917</v>
      </c>
      <c r="I2" s="6" t="s">
        <v>918</v>
      </c>
      <c r="J2" s="6" t="s">
        <v>919</v>
      </c>
      <c r="K2" s="6" t="s">
        <v>920</v>
      </c>
      <c r="L2" s="6" t="s">
        <v>921</v>
      </c>
      <c r="M2" s="6" t="s">
        <v>922</v>
      </c>
      <c r="N2" s="6" t="s">
        <v>923</v>
      </c>
      <c r="O2" s="18" t="s">
        <v>32</v>
      </c>
      <c r="P2" s="18" t="s">
        <v>1069</v>
      </c>
      <c r="Q2" s="18" t="s">
        <v>1070</v>
      </c>
      <c r="R2" s="18" t="s">
        <v>1071</v>
      </c>
      <c r="S2" s="18" t="s">
        <v>1031</v>
      </c>
      <c r="T2" s="18" t="s">
        <v>1072</v>
      </c>
      <c r="U2" s="18" t="s">
        <v>1073</v>
      </c>
      <c r="V2" s="18" t="s">
        <v>1074</v>
      </c>
      <c r="W2" s="18" t="s">
        <v>1075</v>
      </c>
      <c r="X2" s="18" t="s">
        <v>47</v>
      </c>
    </row>
    <row r="3" s="14" customFormat="1" ht="20" customHeight="1" spans="1:24 16378:16384">
      <c r="A3" s="19" t="s">
        <v>998</v>
      </c>
      <c r="B3" s="19" t="s">
        <v>999</v>
      </c>
      <c r="C3" s="19" t="s">
        <v>927</v>
      </c>
      <c r="D3" s="19" t="s">
        <v>867</v>
      </c>
      <c r="E3" s="19" t="s">
        <v>372</v>
      </c>
      <c r="F3" s="19"/>
      <c r="G3" s="19" t="s">
        <v>1000</v>
      </c>
      <c r="H3" s="19" t="s">
        <v>945</v>
      </c>
      <c r="I3" s="19" t="s">
        <v>929</v>
      </c>
      <c r="J3" s="19" t="s">
        <v>1076</v>
      </c>
      <c r="K3" s="19" t="s">
        <v>956</v>
      </c>
      <c r="L3" s="19" t="s">
        <v>1077</v>
      </c>
      <c r="M3" s="19" t="s">
        <v>1078</v>
      </c>
      <c r="N3" s="19" t="s">
        <v>1079</v>
      </c>
    </row>
    <row r="4" ht="24" customHeight="1" spans="1:24 16378:16384">
      <c r="A4" s="10" t="s">
        <v>1080</v>
      </c>
    </row>
    <row r="5" customFormat="1" ht="22.05" customHeight="1" spans="1:24 16378:16384">
      <c r="A5" s="6" t="s">
        <v>1027</v>
      </c>
      <c r="B5" s="5" t="s">
        <v>880</v>
      </c>
      <c r="C5" s="6" t="s">
        <v>1006</v>
      </c>
      <c r="D5" s="6" t="s">
        <v>1007</v>
      </c>
      <c r="E5" s="6" t="s">
        <v>1016</v>
      </c>
      <c r="F5" s="6" t="s">
        <v>884</v>
      </c>
      <c r="G5" s="5" t="s">
        <v>885</v>
      </c>
      <c r="H5" s="5" t="s">
        <v>1018</v>
      </c>
    </row>
    <row r="6" s="15" customFormat="1" ht="36" spans="1:24 16378:16384">
      <c r="A6" s="20" t="str">
        <f>$A$3</f>
        <v>BMGG-MAZ-26111</v>
      </c>
      <c r="B6" t="s">
        <v>1081</v>
      </c>
      <c r="C6" s="21" t="s">
        <v>1082</v>
      </c>
      <c r="D6" s="22" t="s">
        <v>1083</v>
      </c>
      <c r="E6" s="22" t="s">
        <v>1084</v>
      </c>
      <c r="F6" s="22" t="s">
        <v>1085</v>
      </c>
      <c r="G6" s="22">
        <v>1</v>
      </c>
      <c r="H6">
        <v>12500</v>
      </c>
      <c r="I6" s="15" t="s">
        <v>901</v>
      </c>
      <c r="XEX6" s="20"/>
      <c r="XEY6" s="20"/>
      <c r="XEZ6" s="20"/>
      <c r="XFA6" s="20"/>
      <c r="XFB6" s="20"/>
      <c r="XFC6" s="20"/>
      <c r="XFD6" s="20"/>
    </row>
    <row r="7" ht="17.4" customHeight="1" spans="1:24 16378:16384">
      <c r="A7" s="23" t="s">
        <v>1086</v>
      </c>
      <c r="I7" s="15"/>
    </row>
    <row r="8" spans="1:24 16378:16384">
      <c r="A8" s="24" t="s">
        <v>1027</v>
      </c>
      <c r="B8" s="25" t="s">
        <v>1042</v>
      </c>
      <c r="C8" s="24" t="s">
        <v>1087</v>
      </c>
      <c r="D8" s="24" t="s">
        <v>1088</v>
      </c>
      <c r="E8" s="24" t="s">
        <v>1089</v>
      </c>
      <c r="F8" s="24" t="s">
        <v>47</v>
      </c>
      <c r="G8" s="25" t="s">
        <v>1090</v>
      </c>
      <c r="I8" s="15"/>
    </row>
    <row r="9" customFormat="1" spans="1:24 16378:16384">
      <c r="A9" s="20" t="str">
        <f>$A$3</f>
        <v>BMGG-MAZ-26111</v>
      </c>
      <c r="B9" t="s">
        <v>1091</v>
      </c>
      <c r="C9">
        <v>100</v>
      </c>
      <c r="D9">
        <f>ROUND($G$6*$H$6*C9/100,2)</f>
        <v>12500</v>
      </c>
    </row>
    <row r="10" spans="1:24 16378:16384">
      <c r="J10">
        <v>1</v>
      </c>
    </row>
    <row r="11" spans="1:24 16378:16384">
      <c r="J11">
        <v>3</v>
      </c>
    </row>
    <row r="12" spans="1:24 16378:16384">
      <c r="J12">
        <v>4</v>
      </c>
    </row>
    <row r="13" spans="1:24 16378:16384">
      <c r="J13">
        <v>5</v>
      </c>
    </row>
    <row r="14" spans="1:24 16378:16384">
      <c r="J14">
        <v>6</v>
      </c>
    </row>
    <row r="15" spans="1:24 16378:16384">
      <c r="H15" s="20" t="str">
        <f>$A$3</f>
        <v>BMGG-MAZ-26111</v>
      </c>
      <c r="I15" t="s">
        <v>1092</v>
      </c>
      <c r="J15">
        <v>100</v>
      </c>
      <c r="K15">
        <f>ROUND($G$6*$H$6*J15/100,2)</f>
        <v>12500</v>
      </c>
    </row>
    <row r="16" spans="1:24 16378:16384">
      <c r="H16" s="20" t="str">
        <f>$A$3</f>
        <v>BMGG-MAZ-26111</v>
      </c>
      <c r="I16" t="s">
        <v>1093</v>
      </c>
      <c r="J16">
        <v>5</v>
      </c>
      <c r="K16">
        <f>H6*G6-SUM(D9:D9)</f>
        <v>0</v>
      </c>
    </row>
    <row r="17" spans="10:10">
      <c r="J17">
        <v>9</v>
      </c>
    </row>
    <row r="18" spans="10:10">
      <c r="J18">
        <v>10</v>
      </c>
    </row>
    <row r="19" spans="10:10">
      <c r="J19">
        <v>11</v>
      </c>
    </row>
    <row r="20" spans="10:10">
      <c r="J20">
        <v>12</v>
      </c>
    </row>
    <row r="21" spans="10:10">
      <c r="J21">
        <v>13</v>
      </c>
    </row>
    <row r="22" spans="10:10">
      <c r="J22">
        <v>14</v>
      </c>
    </row>
  </sheetData>
  <mergeCells count="1">
    <mergeCell ref="A4:F4"/>
  </mergeCell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1058" name="Button 34" r:id="rId4">
              <controlPr print="0" defaultSize="0">
                <anchor moveWithCells="1" sizeWithCells="1">
                  <from>
                    <xdr:col>7</xdr:col>
                    <xdr:colOff>0</xdr:colOff>
                    <xdr:row>0</xdr:row>
                    <xdr:rowOff>30480</xdr:rowOff>
                  </from>
                  <to>
                    <xdr:col>8</xdr:col>
                    <xdr:colOff>601980</xdr:colOff>
                    <xdr:row>0</xdr:row>
                    <xdr:rowOff>632460</xdr:rowOff>
                  </to>
                </anchor>
              </controlPr>
            </control>
          </mc:Choice>
        </mc:AlternateContent>
        <mc:AlternateContent xmlns:mc="http://schemas.openxmlformats.org/markup-compatibility/2006">
          <mc:Choice Requires="x14">
            <control shapeId="1059" name="Button 35" r:id="rId5">
              <controlPr print="0" defaultSize="0">
                <anchor moveWithCells="1" sizeWithCells="1">
                  <from>
                    <xdr:col>9</xdr:col>
                    <xdr:colOff>106680</xdr:colOff>
                    <xdr:row>0</xdr:row>
                    <xdr:rowOff>0</xdr:rowOff>
                  </from>
                  <to>
                    <xdr:col>10</xdr:col>
                    <xdr:colOff>708660</xdr:colOff>
                    <xdr:row>0</xdr:row>
                    <xdr:rowOff>601980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C65911"/>
  </sheetPr>
  <dimension ref="A1:P8"/>
  <sheetViews>
    <sheetView workbookViewId="0">
      <pane ySplit="2" topLeftCell="A3" activePane="bottomLeft" state="frozen"/>
      <selection/>
      <selection pane="bottomLeft" activeCell="A1" sqref="A1:F1"/>
    </sheetView>
  </sheetViews>
  <sheetFormatPr defaultColWidth="9" defaultRowHeight="13.5" outlineLevelRow="7"/>
  <cols>
    <col min="1" max="16" width="14" customWidth="1"/>
  </cols>
  <sheetData>
    <row r="1" ht="24" customHeight="1" spans="1:16">
      <c r="A1" s="10" t="s">
        <v>1066</v>
      </c>
    </row>
    <row r="2" ht="22.05" customHeight="1" spans="1:16">
      <c r="A2" s="5" t="s">
        <v>1027</v>
      </c>
      <c r="B2" s="6" t="s">
        <v>1067</v>
      </c>
      <c r="C2" s="6" t="s">
        <v>913</v>
      </c>
      <c r="D2" s="5" t="s">
        <v>778</v>
      </c>
      <c r="E2" s="5" t="s">
        <v>1094</v>
      </c>
      <c r="F2" s="6" t="s">
        <v>32</v>
      </c>
      <c r="G2" s="6" t="s">
        <v>1069</v>
      </c>
      <c r="H2" s="6" t="s">
        <v>1070</v>
      </c>
      <c r="I2" s="6" t="s">
        <v>1071</v>
      </c>
      <c r="J2" s="6" t="s">
        <v>1031</v>
      </c>
      <c r="K2" s="6" t="s">
        <v>915</v>
      </c>
      <c r="L2" s="6" t="s">
        <v>1072</v>
      </c>
      <c r="M2" s="6" t="s">
        <v>1073</v>
      </c>
      <c r="N2" s="6" t="s">
        <v>1075</v>
      </c>
      <c r="O2" s="6" t="s">
        <v>1095</v>
      </c>
      <c r="P2" s="6" t="s">
        <v>47</v>
      </c>
    </row>
    <row r="4" ht="24" customHeight="1" spans="1:16">
      <c r="A4" s="10" t="s">
        <v>1080</v>
      </c>
    </row>
    <row r="5" ht="22.05" customHeight="1" spans="1:16">
      <c r="A5" s="6" t="s">
        <v>1027</v>
      </c>
      <c r="B5" s="5" t="s">
        <v>880</v>
      </c>
      <c r="C5" s="6" t="s">
        <v>1006</v>
      </c>
      <c r="D5" s="6" t="s">
        <v>1007</v>
      </c>
      <c r="E5" s="6" t="s">
        <v>1016</v>
      </c>
      <c r="F5" s="6" t="s">
        <v>884</v>
      </c>
      <c r="G5" s="5" t="s">
        <v>885</v>
      </c>
      <c r="H5" s="5" t="s">
        <v>1018</v>
      </c>
      <c r="I5" s="6" t="s">
        <v>47</v>
      </c>
    </row>
    <row r="7" ht="24" customHeight="1" spans="1:16">
      <c r="A7" s="10" t="s">
        <v>1086</v>
      </c>
    </row>
    <row r="8" ht="22.05" customHeight="1" spans="1:16">
      <c r="A8" s="6" t="s">
        <v>1027</v>
      </c>
      <c r="B8" s="5" t="s">
        <v>1042</v>
      </c>
      <c r="C8" s="6" t="s">
        <v>1087</v>
      </c>
      <c r="D8" s="6" t="s">
        <v>1088</v>
      </c>
      <c r="E8" s="6" t="s">
        <v>1089</v>
      </c>
      <c r="F8" s="6" t="s">
        <v>47</v>
      </c>
      <c r="G8" s="6" t="s">
        <v>1096</v>
      </c>
    </row>
  </sheetData>
  <mergeCells count="3">
    <mergeCell ref="A1:F1"/>
    <mergeCell ref="A4:F4"/>
    <mergeCell ref="A7:F7"/>
  </mergeCells>
  <pageMargins left="0.75" right="0.75" top="1" bottom="1" header="0.5" footer="0.5"/>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548235"/>
  </sheetPr>
  <dimension ref="A1:AH22"/>
  <sheetViews>
    <sheetView workbookViewId="0">
      <pane xSplit="1" ySplit="4" topLeftCell="B5" activePane="bottomRight" state="frozen"/>
      <selection/>
      <selection pane="topRight"/>
      <selection pane="bottomLeft"/>
      <selection pane="bottomRight" activeCell="D15" sqref="D15"/>
    </sheetView>
  </sheetViews>
  <sheetFormatPr defaultColWidth="9" defaultRowHeight="13.5"/>
  <cols>
    <col min="1" max="1" width="32.225" customWidth="1"/>
    <col min="2" max="10" width="14" customWidth="1"/>
    <col min="11" max="11" width="16.4416666666667" customWidth="1"/>
    <col min="12" max="12" width="14" hidden="1" customWidth="1"/>
    <col min="13" max="13" width="17.4416666666667" customWidth="1"/>
    <col min="14" max="17" width="14" customWidth="1"/>
    <col min="18" max="18" width="14" hidden="1" customWidth="1"/>
    <col min="19" max="19" width="18" hidden="1" customWidth="1"/>
    <col min="20" max="20" width="14" hidden="1" customWidth="1"/>
    <col min="21" max="31" width="14" customWidth="1"/>
    <col min="32" max="34" width="14" hidden="1" customWidth="1"/>
  </cols>
  <sheetData>
    <row r="1" ht="22.05" customHeight="1" spans="1:34">
      <c r="A1" s="8" t="s">
        <v>1097</v>
      </c>
      <c r="F1" s="9"/>
      <c r="G1" s="9"/>
      <c r="H1" s="9"/>
      <c r="I1" s="9"/>
      <c r="J1" s="9"/>
      <c r="K1" s="9"/>
    </row>
    <row r="2" ht="22.05" customHeight="1" spans="1:34">
      <c r="F2" s="9"/>
      <c r="G2" s="9"/>
      <c r="H2" s="9"/>
      <c r="I2" s="9"/>
      <c r="J2" s="9"/>
      <c r="K2" s="9"/>
    </row>
    <row r="3" ht="17.4" customHeight="1" spans="1:34">
      <c r="A3" s="10" t="s">
        <v>1080</v>
      </c>
    </row>
    <row r="4" ht="22.05" customHeight="1" spans="1:34">
      <c r="A4" s="5" t="s">
        <v>880</v>
      </c>
      <c r="B4" s="6" t="s">
        <v>1049</v>
      </c>
      <c r="C4" s="6" t="s">
        <v>888</v>
      </c>
      <c r="D4" s="6" t="s">
        <v>1053</v>
      </c>
      <c r="E4" s="6" t="s">
        <v>1054</v>
      </c>
      <c r="F4" s="6" t="s">
        <v>1055</v>
      </c>
      <c r="G4" s="6" t="s">
        <v>1098</v>
      </c>
      <c r="H4" s="6" t="s">
        <v>890</v>
      </c>
      <c r="I4" s="6" t="s">
        <v>889</v>
      </c>
      <c r="J4" s="6" t="s">
        <v>892</v>
      </c>
      <c r="K4" s="6" t="s">
        <v>1062</v>
      </c>
      <c r="L4" s="6" t="s">
        <v>1063</v>
      </c>
      <c r="M4" s="6" t="s">
        <v>1050</v>
      </c>
      <c r="N4" s="6" t="s">
        <v>1051</v>
      </c>
      <c r="O4" s="6" t="s">
        <v>1052</v>
      </c>
      <c r="P4" s="6" t="s">
        <v>1047</v>
      </c>
      <c r="Q4" s="6" t="s">
        <v>1048</v>
      </c>
      <c r="R4" s="6" t="s">
        <v>1010</v>
      </c>
      <c r="S4" s="6" t="s">
        <v>1064</v>
      </c>
      <c r="T4" s="6" t="s">
        <v>918</v>
      </c>
      <c r="U4" s="6" t="s">
        <v>1058</v>
      </c>
      <c r="V4" s="6" t="s">
        <v>1045</v>
      </c>
      <c r="W4" s="11" t="s">
        <v>881</v>
      </c>
      <c r="X4" s="11" t="s">
        <v>1007</v>
      </c>
      <c r="Y4" s="11" t="s">
        <v>1016</v>
      </c>
      <c r="Z4" s="11" t="s">
        <v>884</v>
      </c>
      <c r="AA4" s="11" t="s">
        <v>885</v>
      </c>
      <c r="AB4" s="11" t="s">
        <v>911</v>
      </c>
      <c r="AC4" s="11" t="s">
        <v>48</v>
      </c>
      <c r="AD4" s="11" t="s">
        <v>1046</v>
      </c>
      <c r="AE4" s="11" t="s">
        <v>1018</v>
      </c>
      <c r="AF4" s="6" t="s">
        <v>922</v>
      </c>
      <c r="AG4" s="6" t="s">
        <v>1065</v>
      </c>
      <c r="AH4" s="6" t="s">
        <v>47</v>
      </c>
    </row>
    <row r="5" ht="15" customHeight="1" spans="1:34">
      <c r="A5" s="12" t="s">
        <v>1099</v>
      </c>
      <c r="B5" t="s">
        <v>1100</v>
      </c>
      <c r="C5" t="s">
        <v>1101</v>
      </c>
      <c r="D5">
        <v>30</v>
      </c>
      <c r="E5">
        <v>30</v>
      </c>
      <c r="F5">
        <v>30</v>
      </c>
      <c r="G5" t="s">
        <v>1102</v>
      </c>
      <c r="H5">
        <v>50</v>
      </c>
      <c r="I5">
        <v>55</v>
      </c>
      <c r="J5">
        <v>0.027</v>
      </c>
      <c r="K5" t="s">
        <v>1103</v>
      </c>
      <c r="M5" t="s">
        <v>1104</v>
      </c>
      <c r="N5" t="s">
        <v>1105</v>
      </c>
      <c r="O5" t="s">
        <v>1106</v>
      </c>
      <c r="P5" t="s">
        <v>1107</v>
      </c>
      <c r="Q5" s="13" t="s">
        <v>1108</v>
      </c>
      <c r="U5">
        <v>1</v>
      </c>
      <c r="V5" t="s">
        <v>1109</v>
      </c>
    </row>
    <row r="6" ht="15" customHeight="1" spans="1:34">
      <c r="A6" s="12" t="s">
        <v>1110</v>
      </c>
      <c r="B6" t="s">
        <v>1100</v>
      </c>
      <c r="C6" t="s">
        <v>1101</v>
      </c>
      <c r="D6">
        <v>31</v>
      </c>
      <c r="E6">
        <v>31</v>
      </c>
      <c r="F6">
        <v>31</v>
      </c>
      <c r="G6" t="s">
        <v>1111</v>
      </c>
      <c r="H6">
        <v>51</v>
      </c>
      <c r="I6">
        <v>56</v>
      </c>
      <c r="J6">
        <v>0.029791</v>
      </c>
      <c r="K6" t="s">
        <v>1103</v>
      </c>
      <c r="M6" t="s">
        <v>1104</v>
      </c>
      <c r="N6" t="s">
        <v>1105</v>
      </c>
      <c r="O6" t="s">
        <v>1106</v>
      </c>
      <c r="P6" t="s">
        <v>1107</v>
      </c>
      <c r="Q6" s="13" t="s">
        <v>1108</v>
      </c>
      <c r="U6">
        <v>1</v>
      </c>
      <c r="V6" t="s">
        <v>1109</v>
      </c>
    </row>
    <row r="7" ht="15" customHeight="1" spans="1:34">
      <c r="A7" s="12" t="s">
        <v>1112</v>
      </c>
      <c r="B7" t="s">
        <v>1100</v>
      </c>
      <c r="C7" t="s">
        <v>1101</v>
      </c>
      <c r="D7">
        <v>32</v>
      </c>
      <c r="E7">
        <v>32</v>
      </c>
      <c r="F7">
        <v>32</v>
      </c>
      <c r="G7" t="s">
        <v>1113</v>
      </c>
      <c r="H7">
        <v>52</v>
      </c>
      <c r="I7">
        <v>57</v>
      </c>
      <c r="J7">
        <v>0.032768</v>
      </c>
      <c r="K7" t="s">
        <v>1103</v>
      </c>
      <c r="M7" t="s">
        <v>1104</v>
      </c>
      <c r="N7" t="s">
        <v>1105</v>
      </c>
      <c r="O7" t="s">
        <v>1106</v>
      </c>
      <c r="P7" t="s">
        <v>1107</v>
      </c>
      <c r="Q7" s="13" t="s">
        <v>1108</v>
      </c>
      <c r="U7">
        <v>1</v>
      </c>
      <c r="V7" t="s">
        <v>1109</v>
      </c>
    </row>
    <row r="8" ht="15" customHeight="1" spans="1:34">
      <c r="A8" s="12" t="s">
        <v>1114</v>
      </c>
      <c r="B8" t="s">
        <v>1100</v>
      </c>
      <c r="C8" t="s">
        <v>1101</v>
      </c>
      <c r="D8">
        <v>33</v>
      </c>
      <c r="E8">
        <v>33</v>
      </c>
      <c r="F8">
        <v>33</v>
      </c>
      <c r="G8" t="s">
        <v>1115</v>
      </c>
      <c r="H8">
        <v>53</v>
      </c>
      <c r="I8">
        <v>58</v>
      </c>
      <c r="J8">
        <v>0.035937</v>
      </c>
      <c r="K8" t="s">
        <v>1103</v>
      </c>
      <c r="M8" t="s">
        <v>1104</v>
      </c>
      <c r="N8" t="s">
        <v>1105</v>
      </c>
      <c r="O8" t="s">
        <v>1106</v>
      </c>
      <c r="P8" t="s">
        <v>1107</v>
      </c>
      <c r="Q8" s="13" t="s">
        <v>1116</v>
      </c>
      <c r="U8">
        <v>1</v>
      </c>
      <c r="V8" t="s">
        <v>1109</v>
      </c>
    </row>
    <row r="9" ht="15" customHeight="1" spans="1:34">
      <c r="A9" s="12" t="s">
        <v>1117</v>
      </c>
      <c r="B9" t="s">
        <v>1100</v>
      </c>
      <c r="C9" t="s">
        <v>1118</v>
      </c>
      <c r="D9">
        <v>34</v>
      </c>
      <c r="E9">
        <v>34</v>
      </c>
      <c r="F9">
        <v>34</v>
      </c>
      <c r="G9" t="s">
        <v>1119</v>
      </c>
      <c r="H9">
        <v>54</v>
      </c>
      <c r="I9">
        <v>59</v>
      </c>
      <c r="J9">
        <v>0.039304</v>
      </c>
      <c r="K9" t="s">
        <v>1103</v>
      </c>
      <c r="M9" t="s">
        <v>1104</v>
      </c>
      <c r="N9" t="s">
        <v>1105</v>
      </c>
      <c r="O9" t="s">
        <v>1106</v>
      </c>
      <c r="P9" t="s">
        <v>1107</v>
      </c>
      <c r="Q9" s="13" t="s">
        <v>1116</v>
      </c>
      <c r="U9">
        <v>1</v>
      </c>
      <c r="V9" t="s">
        <v>1120</v>
      </c>
    </row>
    <row r="10" ht="15" customHeight="1" spans="1:34">
      <c r="A10" s="12" t="s">
        <v>1121</v>
      </c>
      <c r="B10" t="s">
        <v>1100</v>
      </c>
      <c r="C10" t="s">
        <v>1118</v>
      </c>
      <c r="D10">
        <v>35</v>
      </c>
      <c r="E10">
        <v>35</v>
      </c>
      <c r="F10">
        <v>35</v>
      </c>
      <c r="G10" t="s">
        <v>1122</v>
      </c>
      <c r="H10">
        <v>55</v>
      </c>
      <c r="I10">
        <v>60</v>
      </c>
      <c r="J10">
        <v>0.042875</v>
      </c>
      <c r="K10" t="s">
        <v>1103</v>
      </c>
      <c r="M10" t="s">
        <v>1104</v>
      </c>
      <c r="N10" t="s">
        <v>1105</v>
      </c>
      <c r="O10" t="s">
        <v>1106</v>
      </c>
      <c r="P10" t="s">
        <v>1107</v>
      </c>
      <c r="Q10" s="13" t="s">
        <v>1116</v>
      </c>
      <c r="U10">
        <v>1</v>
      </c>
      <c r="V10" t="s">
        <v>1120</v>
      </c>
    </row>
    <row r="11" ht="15" customHeight="1" spans="1:34">
      <c r="A11" s="12" t="s">
        <v>1123</v>
      </c>
      <c r="B11" t="s">
        <v>1100</v>
      </c>
      <c r="C11" t="s">
        <v>1118</v>
      </c>
      <c r="D11">
        <v>36</v>
      </c>
      <c r="E11">
        <v>36</v>
      </c>
      <c r="F11">
        <v>36</v>
      </c>
      <c r="G11" t="s">
        <v>1124</v>
      </c>
      <c r="H11">
        <v>56</v>
      </c>
      <c r="I11">
        <v>61</v>
      </c>
      <c r="J11">
        <v>0.046656</v>
      </c>
      <c r="K11" t="s">
        <v>1103</v>
      </c>
      <c r="M11" t="s">
        <v>1104</v>
      </c>
      <c r="N11" t="s">
        <v>1105</v>
      </c>
      <c r="O11" t="s">
        <v>1106</v>
      </c>
      <c r="P11" t="s">
        <v>1107</v>
      </c>
      <c r="Q11" s="13" t="s">
        <v>1116</v>
      </c>
      <c r="U11">
        <v>1</v>
      </c>
      <c r="V11" t="s">
        <v>1120</v>
      </c>
    </row>
    <row r="12" ht="15" customHeight="1" spans="1:34">
      <c r="A12" s="12" t="s">
        <v>1125</v>
      </c>
      <c r="B12" t="s">
        <v>1100</v>
      </c>
      <c r="C12" t="s">
        <v>1118</v>
      </c>
      <c r="D12">
        <v>37</v>
      </c>
      <c r="E12">
        <v>37</v>
      </c>
      <c r="F12">
        <v>37</v>
      </c>
      <c r="G12" t="s">
        <v>1126</v>
      </c>
      <c r="H12">
        <v>57</v>
      </c>
      <c r="I12">
        <v>62</v>
      </c>
      <c r="J12">
        <v>0.050653</v>
      </c>
      <c r="K12" t="s">
        <v>1103</v>
      </c>
      <c r="M12" t="s">
        <v>1127</v>
      </c>
      <c r="N12" t="s">
        <v>1105</v>
      </c>
      <c r="O12" t="s">
        <v>1106</v>
      </c>
      <c r="P12" t="s">
        <v>1107</v>
      </c>
      <c r="Q12" s="13" t="s">
        <v>1116</v>
      </c>
      <c r="U12">
        <v>1</v>
      </c>
      <c r="V12" t="s">
        <v>1120</v>
      </c>
    </row>
    <row r="13" ht="15" customHeight="1" spans="1:34">
      <c r="A13" s="12" t="s">
        <v>1128</v>
      </c>
      <c r="B13" t="s">
        <v>1100</v>
      </c>
      <c r="C13" t="s">
        <v>1118</v>
      </c>
      <c r="D13">
        <v>38</v>
      </c>
      <c r="E13">
        <v>38</v>
      </c>
      <c r="F13">
        <v>38</v>
      </c>
      <c r="G13" t="s">
        <v>1129</v>
      </c>
      <c r="H13">
        <v>58</v>
      </c>
      <c r="I13">
        <v>63</v>
      </c>
      <c r="J13">
        <v>0.054872</v>
      </c>
      <c r="K13" t="s">
        <v>1103</v>
      </c>
      <c r="M13" t="s">
        <v>1127</v>
      </c>
      <c r="N13" t="s">
        <v>1105</v>
      </c>
      <c r="O13" t="s">
        <v>1106</v>
      </c>
      <c r="P13" t="s">
        <v>1107</v>
      </c>
      <c r="Q13" s="13" t="s">
        <v>1116</v>
      </c>
      <c r="U13">
        <v>1</v>
      </c>
      <c r="V13" t="s">
        <v>1120</v>
      </c>
    </row>
    <row r="14" ht="15" customHeight="1" spans="1:34">
      <c r="A14" s="12" t="s">
        <v>1130</v>
      </c>
      <c r="B14" t="s">
        <v>1100</v>
      </c>
      <c r="C14" t="s">
        <v>1131</v>
      </c>
      <c r="D14">
        <v>39</v>
      </c>
      <c r="E14">
        <v>39</v>
      </c>
      <c r="F14">
        <v>39</v>
      </c>
      <c r="G14" t="s">
        <v>1132</v>
      </c>
      <c r="H14">
        <v>59</v>
      </c>
      <c r="I14">
        <v>64</v>
      </c>
      <c r="J14">
        <v>0.059319</v>
      </c>
      <c r="K14" t="s">
        <v>1103</v>
      </c>
      <c r="M14" t="s">
        <v>1127</v>
      </c>
      <c r="N14" t="s">
        <v>1105</v>
      </c>
      <c r="O14" t="s">
        <v>1106</v>
      </c>
      <c r="P14" t="s">
        <v>1107</v>
      </c>
      <c r="Q14" s="13" t="s">
        <v>1116</v>
      </c>
      <c r="U14">
        <v>1</v>
      </c>
      <c r="V14" t="s">
        <v>1133</v>
      </c>
    </row>
    <row r="15" ht="15" customHeight="1" spans="1:34">
      <c r="A15" s="12" t="s">
        <v>1134</v>
      </c>
      <c r="B15" t="s">
        <v>1100</v>
      </c>
      <c r="C15" t="s">
        <v>1131</v>
      </c>
      <c r="D15">
        <v>40</v>
      </c>
      <c r="E15">
        <v>40</v>
      </c>
      <c r="F15">
        <v>40</v>
      </c>
      <c r="G15" t="s">
        <v>1135</v>
      </c>
      <c r="H15">
        <v>60</v>
      </c>
      <c r="I15">
        <v>65</v>
      </c>
      <c r="J15">
        <v>0.064</v>
      </c>
      <c r="K15" t="s">
        <v>1103</v>
      </c>
      <c r="M15" t="s">
        <v>1127</v>
      </c>
      <c r="N15" t="s">
        <v>1105</v>
      </c>
      <c r="O15" t="s">
        <v>1106</v>
      </c>
      <c r="P15" t="s">
        <v>1107</v>
      </c>
      <c r="Q15" s="13" t="s">
        <v>1116</v>
      </c>
      <c r="U15">
        <v>1</v>
      </c>
      <c r="V15" t="s">
        <v>1133</v>
      </c>
    </row>
    <row r="16" ht="15" customHeight="1" spans="1:34">
      <c r="A16" s="12" t="s">
        <v>1136</v>
      </c>
      <c r="B16" t="s">
        <v>1100</v>
      </c>
      <c r="C16" t="s">
        <v>1131</v>
      </c>
      <c r="D16">
        <v>41</v>
      </c>
      <c r="E16">
        <v>41</v>
      </c>
      <c r="F16">
        <v>41</v>
      </c>
      <c r="G16" t="s">
        <v>1137</v>
      </c>
      <c r="H16">
        <v>61</v>
      </c>
      <c r="I16">
        <v>66</v>
      </c>
      <c r="J16">
        <v>0.068921</v>
      </c>
      <c r="K16" t="s">
        <v>1103</v>
      </c>
      <c r="M16" t="s">
        <v>1127</v>
      </c>
      <c r="N16" t="s">
        <v>1105</v>
      </c>
      <c r="O16" t="s">
        <v>1106</v>
      </c>
      <c r="P16" t="s">
        <v>1107</v>
      </c>
      <c r="Q16" s="13" t="s">
        <v>1116</v>
      </c>
      <c r="U16">
        <v>1</v>
      </c>
      <c r="V16" t="s">
        <v>1133</v>
      </c>
    </row>
    <row r="17" ht="15" customHeight="1" spans="1:22">
      <c r="A17" s="12" t="s">
        <v>1138</v>
      </c>
      <c r="B17" t="s">
        <v>1100</v>
      </c>
      <c r="C17" t="s">
        <v>1131</v>
      </c>
      <c r="D17">
        <v>42</v>
      </c>
      <c r="E17">
        <v>42</v>
      </c>
      <c r="F17">
        <v>42</v>
      </c>
      <c r="G17" t="s">
        <v>1139</v>
      </c>
      <c r="H17">
        <v>62</v>
      </c>
      <c r="I17">
        <v>67</v>
      </c>
      <c r="J17">
        <v>0.074088</v>
      </c>
      <c r="K17" t="s">
        <v>1103</v>
      </c>
      <c r="M17" t="s">
        <v>1127</v>
      </c>
      <c r="N17" t="s">
        <v>1105</v>
      </c>
      <c r="O17" t="s">
        <v>1106</v>
      </c>
      <c r="P17" t="s">
        <v>1107</v>
      </c>
      <c r="Q17" s="13" t="s">
        <v>1116</v>
      </c>
      <c r="U17">
        <v>1</v>
      </c>
      <c r="V17" t="s">
        <v>1133</v>
      </c>
    </row>
    <row r="18" ht="15" customHeight="1" spans="1:22">
      <c r="A18" s="12" t="s">
        <v>1140</v>
      </c>
      <c r="B18" t="s">
        <v>1100</v>
      </c>
      <c r="C18" t="s">
        <v>1131</v>
      </c>
      <c r="D18">
        <v>43</v>
      </c>
      <c r="E18">
        <v>43</v>
      </c>
      <c r="F18">
        <v>43</v>
      </c>
      <c r="G18" t="s">
        <v>1141</v>
      </c>
      <c r="H18">
        <v>63</v>
      </c>
      <c r="I18">
        <v>68</v>
      </c>
      <c r="J18">
        <v>0.079507</v>
      </c>
      <c r="K18" t="s">
        <v>1103</v>
      </c>
      <c r="M18" t="s">
        <v>1127</v>
      </c>
      <c r="N18" t="s">
        <v>1105</v>
      </c>
      <c r="O18" t="s">
        <v>1106</v>
      </c>
      <c r="P18" t="s">
        <v>1107</v>
      </c>
      <c r="Q18" s="13" t="s">
        <v>1116</v>
      </c>
      <c r="U18">
        <v>1</v>
      </c>
      <c r="V18" t="s">
        <v>1133</v>
      </c>
    </row>
    <row r="19" ht="15" customHeight="1" spans="1:22">
      <c r="A19" s="12" t="s">
        <v>1142</v>
      </c>
      <c r="B19" t="s">
        <v>1100</v>
      </c>
      <c r="C19" t="s">
        <v>1143</v>
      </c>
      <c r="D19">
        <v>44</v>
      </c>
      <c r="E19">
        <v>44</v>
      </c>
      <c r="F19">
        <v>44</v>
      </c>
      <c r="G19" t="s">
        <v>1144</v>
      </c>
      <c r="H19">
        <v>64</v>
      </c>
      <c r="I19">
        <v>69</v>
      </c>
      <c r="J19">
        <v>0.085184</v>
      </c>
      <c r="K19" t="s">
        <v>1103</v>
      </c>
      <c r="M19" t="s">
        <v>1127</v>
      </c>
      <c r="N19" t="s">
        <v>1105</v>
      </c>
      <c r="O19" t="s">
        <v>1106</v>
      </c>
      <c r="P19" t="s">
        <v>1107</v>
      </c>
      <c r="Q19" s="13" t="s">
        <v>1116</v>
      </c>
      <c r="U19">
        <v>1</v>
      </c>
      <c r="V19" t="s">
        <v>1145</v>
      </c>
    </row>
    <row r="20" ht="15" customHeight="1" spans="1:22">
      <c r="A20" s="12" t="s">
        <v>1146</v>
      </c>
      <c r="B20" t="s">
        <v>1100</v>
      </c>
      <c r="C20" t="s">
        <v>1143</v>
      </c>
      <c r="D20">
        <v>45</v>
      </c>
      <c r="E20">
        <v>45</v>
      </c>
      <c r="F20">
        <v>45</v>
      </c>
      <c r="G20" t="s">
        <v>1147</v>
      </c>
      <c r="H20">
        <v>65</v>
      </c>
      <c r="I20">
        <v>70</v>
      </c>
      <c r="J20">
        <v>0.091125</v>
      </c>
      <c r="K20" t="s">
        <v>1103</v>
      </c>
      <c r="M20" t="s">
        <v>1127</v>
      </c>
      <c r="N20" t="s">
        <v>1105</v>
      </c>
      <c r="O20" t="s">
        <v>1106</v>
      </c>
      <c r="P20" t="s">
        <v>1107</v>
      </c>
      <c r="Q20" s="13" t="s">
        <v>1116</v>
      </c>
      <c r="U20">
        <v>1</v>
      </c>
      <c r="V20" t="s">
        <v>1145</v>
      </c>
    </row>
    <row r="21" ht="15" customHeight="1" spans="1:22">
      <c r="A21" s="12" t="s">
        <v>1148</v>
      </c>
      <c r="B21" t="s">
        <v>1100</v>
      </c>
      <c r="C21" t="s">
        <v>1143</v>
      </c>
      <c r="D21">
        <v>46</v>
      </c>
      <c r="E21">
        <v>46</v>
      </c>
      <c r="F21">
        <v>46</v>
      </c>
      <c r="G21" t="s">
        <v>1149</v>
      </c>
      <c r="H21">
        <v>66</v>
      </c>
      <c r="I21">
        <v>71</v>
      </c>
      <c r="J21">
        <v>0.097336</v>
      </c>
      <c r="K21" t="s">
        <v>1103</v>
      </c>
      <c r="M21" t="s">
        <v>1127</v>
      </c>
      <c r="N21" t="s">
        <v>1105</v>
      </c>
      <c r="O21" t="s">
        <v>1106</v>
      </c>
      <c r="P21" t="s">
        <v>1107</v>
      </c>
      <c r="Q21" s="13" t="s">
        <v>1116</v>
      </c>
      <c r="U21">
        <v>1</v>
      </c>
      <c r="V21" t="s">
        <v>1145</v>
      </c>
    </row>
    <row r="22" ht="15" customHeight="1" spans="1:22">
      <c r="A22" s="12" t="s">
        <v>1150</v>
      </c>
      <c r="B22" t="s">
        <v>1100</v>
      </c>
      <c r="C22" t="s">
        <v>1143</v>
      </c>
      <c r="D22">
        <v>47</v>
      </c>
      <c r="E22">
        <v>47</v>
      </c>
      <c r="F22">
        <v>47</v>
      </c>
      <c r="G22" t="s">
        <v>1151</v>
      </c>
      <c r="H22">
        <v>67</v>
      </c>
      <c r="I22">
        <v>72</v>
      </c>
      <c r="J22">
        <v>0.103823</v>
      </c>
      <c r="K22" t="s">
        <v>1103</v>
      </c>
      <c r="M22" t="s">
        <v>1127</v>
      </c>
      <c r="N22" t="s">
        <v>1105</v>
      </c>
      <c r="O22" t="s">
        <v>1106</v>
      </c>
      <c r="P22" t="s">
        <v>1107</v>
      </c>
      <c r="Q22" s="13" t="s">
        <v>1116</v>
      </c>
      <c r="U22">
        <v>1</v>
      </c>
      <c r="V22" t="s">
        <v>1145</v>
      </c>
    </row>
  </sheetData>
  <autoFilter xmlns:etc="http://www.wps.cn/officeDocument/2017/etCustomData" ref="A4:AH22" etc:filterBottomFollowUsedRange="0">
    <extLst/>
  </autoFilter>
  <mergeCells count="1">
    <mergeCell ref="A1:E2"/>
  </mergeCell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19491" name="Button 35" r:id="rId4">
              <controlPr print="0" defaultSize="0">
                <anchor moveWithCells="1" sizeWithCells="1">
                  <from>
                    <xdr:col>6</xdr:col>
                    <xdr:colOff>944880</xdr:colOff>
                    <xdr:row>0</xdr:row>
                    <xdr:rowOff>38100</xdr:rowOff>
                  </from>
                  <to>
                    <xdr:col>8</xdr:col>
                    <xdr:colOff>586740</xdr:colOff>
                    <xdr:row>2</xdr:row>
                    <xdr:rowOff>76200</xdr:rowOff>
                  </to>
                </anchor>
              </controlPr>
            </control>
          </mc:Choice>
        </mc:AlternateContent>
        <mc:AlternateContent xmlns:mc="http://schemas.openxmlformats.org/markup-compatibility/2006">
          <mc:Choice Requires="x14">
            <control shapeId="19526" name="Button 70" r:id="rId5">
              <controlPr print="0" defaultSize="0">
                <anchor moveWithCells="1" sizeWithCells="1">
                  <from>
                    <xdr:col>9</xdr:col>
                    <xdr:colOff>91440</xdr:colOff>
                    <xdr:row>0</xdr:row>
                    <xdr:rowOff>0</xdr:rowOff>
                  </from>
                  <to>
                    <xdr:col>10</xdr:col>
                    <xdr:colOff>693420</xdr:colOff>
                    <xdr:row>2</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5B9BD5"/>
  </sheetPr>
  <dimension ref="A1:J1"/>
  <sheetViews>
    <sheetView workbookViewId="0">
      <pane ySplit="1" topLeftCell="A2" activePane="bottomLeft" state="frozen"/>
      <selection/>
      <selection pane="bottomLeft" activeCell="G26" sqref="G26:G27"/>
    </sheetView>
  </sheetViews>
  <sheetFormatPr defaultColWidth="9" defaultRowHeight="13.5"/>
  <cols>
    <col min="1" max="10" width="14" customWidth="1"/>
  </cols>
  <sheetData>
    <row r="1" ht="22.05" customHeight="1" spans="1:10">
      <c r="A1" s="5" t="s">
        <v>1069</v>
      </c>
      <c r="B1" s="5" t="s">
        <v>1152</v>
      </c>
      <c r="C1" s="6" t="s">
        <v>1153</v>
      </c>
      <c r="D1" s="6" t="s">
        <v>1154</v>
      </c>
      <c r="E1" s="6" t="s">
        <v>1155</v>
      </c>
      <c r="F1" s="6" t="s">
        <v>1156</v>
      </c>
      <c r="G1" s="6" t="s">
        <v>1072</v>
      </c>
      <c r="H1" s="6" t="s">
        <v>1073</v>
      </c>
      <c r="I1" s="6" t="s">
        <v>46</v>
      </c>
      <c r="J1" s="6" t="s">
        <v>47</v>
      </c>
    </row>
  </sheetData>
  <autoFilter xmlns:etc="http://www.wps.cn/officeDocument/2017/etCustomData" ref="A1:J1" etc:filterBottomFollowUsedRange="0">
    <extLst/>
  </autoFilter>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3085" name="Button 13" r:id="rId4">
              <controlPr print="0" defaultSize="0">
                <anchor moveWithCells="1" sizeWithCells="1">
                  <from>
                    <xdr:col>4</xdr:col>
                    <xdr:colOff>350520</xdr:colOff>
                    <xdr:row>21</xdr:row>
                    <xdr:rowOff>53340</xdr:rowOff>
                  </from>
                  <to>
                    <xdr:col>6</xdr:col>
                    <xdr:colOff>205740</xdr:colOff>
                    <xdr:row>23</xdr:row>
                    <xdr:rowOff>38100</xdr:rowOff>
                  </to>
                </anchor>
              </controlPr>
            </control>
          </mc:Choice>
        </mc:AlternateContent>
        <mc:AlternateContent xmlns:mc="http://schemas.openxmlformats.org/markup-compatibility/2006">
          <mc:Choice Requires="x14">
            <control shapeId="3086" name="Button 14" r:id="rId5">
              <controlPr print="0" defaultSize="0">
                <anchor moveWithCells="1" sizeWithCells="1">
                  <from>
                    <xdr:col>2</xdr:col>
                    <xdr:colOff>449580</xdr:colOff>
                    <xdr:row>21</xdr:row>
                    <xdr:rowOff>7620</xdr:rowOff>
                  </from>
                  <to>
                    <xdr:col>3</xdr:col>
                    <xdr:colOff>632460</xdr:colOff>
                    <xdr:row>22</xdr:row>
                    <xdr:rowOff>175260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5B9BD5"/>
  </sheetPr>
  <dimension ref="A1:G1"/>
  <sheetViews>
    <sheetView workbookViewId="0">
      <pane ySplit="1" topLeftCell="A2" activePane="bottomLeft" state="frozen"/>
      <selection/>
      <selection pane="bottomLeft" activeCell="I31" sqref="I31"/>
    </sheetView>
  </sheetViews>
  <sheetFormatPr defaultColWidth="9" defaultRowHeight="13.5" outlineLevelCol="6"/>
  <cols>
    <col min="1" max="1" width="18" customWidth="1"/>
    <col min="2" max="7" width="14" customWidth="1"/>
  </cols>
  <sheetData>
    <row r="1" ht="22.05" customHeight="1" spans="1:7">
      <c r="A1" s="5" t="s">
        <v>1064</v>
      </c>
      <c r="B1" s="5" t="s">
        <v>1157</v>
      </c>
      <c r="C1" s="6" t="s">
        <v>1158</v>
      </c>
      <c r="D1" s="6" t="s">
        <v>1159</v>
      </c>
      <c r="E1" s="6" t="s">
        <v>1160</v>
      </c>
      <c r="F1" s="6" t="s">
        <v>1161</v>
      </c>
      <c r="G1" s="6" t="s">
        <v>46</v>
      </c>
    </row>
  </sheetData>
  <autoFilter xmlns:etc="http://www.wps.cn/officeDocument/2017/etCustomData" ref="A1:G1" etc:filterBottomFollowUsedRange="0">
    <extLst/>
  </autoFilter>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4104" name="Button 8" r:id="rId4">
              <controlPr print="0" defaultSize="0">
                <anchor moveWithCells="1" sizeWithCells="1">
                  <from>
                    <xdr:col>2</xdr:col>
                    <xdr:colOff>449580</xdr:colOff>
                    <xdr:row>19</xdr:row>
                    <xdr:rowOff>121920</xdr:rowOff>
                  </from>
                  <to>
                    <xdr:col>3</xdr:col>
                    <xdr:colOff>632460</xdr:colOff>
                    <xdr:row>21</xdr:row>
                    <xdr:rowOff>106680</xdr:rowOff>
                  </to>
                </anchor>
              </controlPr>
            </control>
          </mc:Choice>
        </mc:AlternateContent>
        <mc:AlternateContent xmlns:mc="http://schemas.openxmlformats.org/markup-compatibility/2006">
          <mc:Choice Requires="x14">
            <control shapeId="4105" name="Button 9" r:id="rId5">
              <controlPr print="0" defaultSize="0">
                <anchor moveWithCells="1" sizeWithCells="1">
                  <from>
                    <xdr:col>3</xdr:col>
                    <xdr:colOff>762000</xdr:colOff>
                    <xdr:row>19</xdr:row>
                    <xdr:rowOff>121920</xdr:rowOff>
                  </from>
                  <to>
                    <xdr:col>5</xdr:col>
                    <xdr:colOff>617220</xdr:colOff>
                    <xdr:row>21</xdr:row>
                    <xdr:rowOff>106680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5B9BD5"/>
  </sheetPr>
  <dimension ref="A1:E2"/>
  <sheetViews>
    <sheetView workbookViewId="0">
      <pane ySplit="1" topLeftCell="A2" activePane="bottomLeft" state="frozen"/>
      <selection/>
      <selection pane="bottomLeft" activeCell="H5" sqref="H5"/>
    </sheetView>
  </sheetViews>
  <sheetFormatPr defaultColWidth="9" defaultRowHeight="13.5" outlineLevelRow="1" outlineLevelCol="4"/>
  <cols>
    <col min="1" max="5" width="14" customWidth="1"/>
  </cols>
  <sheetData>
    <row r="1" ht="22.05" customHeight="1" spans="1:5">
      <c r="A1" s="5" t="s">
        <v>1162</v>
      </c>
      <c r="B1" s="5" t="s">
        <v>1163</v>
      </c>
      <c r="C1" s="6" t="s">
        <v>1164</v>
      </c>
      <c r="D1" s="5" t="s">
        <v>1165</v>
      </c>
      <c r="E1" s="6" t="s">
        <v>1166</v>
      </c>
    </row>
    <row r="2" spans="1:5">
      <c r="A2">
        <v>2026</v>
      </c>
      <c r="B2">
        <v>1</v>
      </c>
      <c r="C2" t="s">
        <v>1167</v>
      </c>
      <c r="D2">
        <v>7.023</v>
      </c>
      <c r="E2" s="7">
        <v>46023</v>
      </c>
    </row>
  </sheetData>
  <autoFilter xmlns:etc="http://www.wps.cn/officeDocument/2017/etCustomData" ref="A1:E2" etc:filterBottomFollowUsedRange="0">
    <extLst/>
  </autoFilter>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6" name="Button 6" r:id="rId4">
              <controlPr print="0" defaultSize="0">
                <anchor moveWithCells="1" sizeWithCells="1">
                  <from>
                    <xdr:col>0</xdr:col>
                    <xdr:colOff>510540</xdr:colOff>
                    <xdr:row>20</xdr:row>
                    <xdr:rowOff>7620</xdr:rowOff>
                  </from>
                  <to>
                    <xdr:col>1</xdr:col>
                    <xdr:colOff>693420</xdr:colOff>
                    <xdr:row>21</xdr:row>
                    <xdr:rowOff>175260</xdr:rowOff>
                  </to>
                </anchor>
              </controlPr>
            </control>
          </mc:Choice>
        </mc:AlternateContent>
        <mc:AlternateContent xmlns:mc="http://schemas.openxmlformats.org/markup-compatibility/2006">
          <mc:Choice Requires="x14">
            <control shapeId="5127" name="Button 7" r:id="rId5">
              <controlPr print="0" defaultSize="0">
                <anchor moveWithCells="1" sizeWithCells="1">
                  <from>
                    <xdr:col>1</xdr:col>
                    <xdr:colOff>822960</xdr:colOff>
                    <xdr:row>20</xdr:row>
                    <xdr:rowOff>7620</xdr:rowOff>
                  </from>
                  <to>
                    <xdr:col>3</xdr:col>
                    <xdr:colOff>678180</xdr:colOff>
                    <xdr:row>21</xdr:row>
                    <xdr:rowOff>175260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D266"/>
  <sheetViews>
    <sheetView workbookViewId="0">
      <pane ySplit="1" topLeftCell="A59" activePane="bottomLeft" state="frozen"/>
      <selection/>
      <selection pane="bottomLeft" activeCell="D103" sqref="D103"/>
    </sheetView>
  </sheetViews>
  <sheetFormatPr defaultColWidth="9" defaultRowHeight="13.5" outlineLevelCol="3"/>
  <cols>
    <col min="1" max="1" width="22" customWidth="1"/>
    <col min="2" max="2" width="18" customWidth="1"/>
    <col min="3" max="3" width="12" customWidth="1"/>
    <col min="4" max="4" width="80" customWidth="1"/>
  </cols>
  <sheetData>
    <row r="1" spans="1:4">
      <c r="A1" s="2" t="s">
        <v>1168</v>
      </c>
      <c r="B1" s="2" t="s">
        <v>1169</v>
      </c>
      <c r="C1" s="2" t="s">
        <v>1170</v>
      </c>
      <c r="D1" s="2" t="s">
        <v>1171</v>
      </c>
    </row>
    <row r="2" spans="1:4">
      <c r="A2" s="3">
        <v>46297.7489930556</v>
      </c>
      <c r="B2" t="s">
        <v>1172</v>
      </c>
      <c r="C2" t="s">
        <v>1173</v>
      </c>
      <c r="D2" t="s">
        <v>1174</v>
      </c>
    </row>
    <row r="3" spans="1:4">
      <c r="A3" s="3">
        <v>46297.7494097222</v>
      </c>
      <c r="B3" t="s">
        <v>1172</v>
      </c>
      <c r="C3" t="s">
        <v>1173</v>
      </c>
      <c r="D3" t="s">
        <v>1175</v>
      </c>
    </row>
    <row r="4" spans="1:4">
      <c r="A4" s="3">
        <v>46297.7495138889</v>
      </c>
      <c r="B4" t="s">
        <v>1172</v>
      </c>
      <c r="C4" t="s">
        <v>1173</v>
      </c>
      <c r="D4" t="s">
        <v>1175</v>
      </c>
    </row>
    <row r="5" spans="1:4">
      <c r="A5" s="3">
        <v>46297.7495717593</v>
      </c>
      <c r="B5" t="s">
        <v>1172</v>
      </c>
      <c r="C5" t="s">
        <v>1176</v>
      </c>
      <c r="D5" t="s">
        <v>1177</v>
      </c>
    </row>
    <row r="6" spans="1:4">
      <c r="A6" s="3">
        <v>46297.7495949074</v>
      </c>
      <c r="B6" t="s">
        <v>1172</v>
      </c>
      <c r="C6" t="s">
        <v>1173</v>
      </c>
      <c r="D6" t="s">
        <v>1178</v>
      </c>
    </row>
    <row r="7" spans="1:4">
      <c r="A7" s="3">
        <v>46297.7506944444</v>
      </c>
      <c r="B7" t="s">
        <v>1179</v>
      </c>
      <c r="C7" t="s">
        <v>1173</v>
      </c>
      <c r="D7" t="s">
        <v>1180</v>
      </c>
    </row>
    <row r="8" spans="1:4">
      <c r="A8" s="3">
        <v>46297.7507407407</v>
      </c>
      <c r="B8" t="s">
        <v>1172</v>
      </c>
      <c r="C8" t="s">
        <v>1176</v>
      </c>
      <c r="D8" t="s">
        <v>1177</v>
      </c>
    </row>
    <row r="9" spans="1:4">
      <c r="A9" s="3">
        <v>46297.7608217593</v>
      </c>
      <c r="B9" t="s">
        <v>1172</v>
      </c>
      <c r="C9" t="s">
        <v>1173</v>
      </c>
      <c r="D9" t="s">
        <v>1180</v>
      </c>
    </row>
    <row r="10" spans="1:4">
      <c r="A10" s="3">
        <v>46297.7608449074</v>
      </c>
      <c r="B10" t="s">
        <v>1172</v>
      </c>
      <c r="C10" t="s">
        <v>1176</v>
      </c>
      <c r="D10" t="s">
        <v>1177</v>
      </c>
    </row>
    <row r="11" spans="1:4">
      <c r="A11" s="3">
        <v>46297.7608680556</v>
      </c>
      <c r="B11" t="s">
        <v>1172</v>
      </c>
      <c r="C11" t="s">
        <v>1173</v>
      </c>
      <c r="D11" t="s">
        <v>1178</v>
      </c>
    </row>
    <row r="12" spans="1:4">
      <c r="A12" s="3">
        <v>46297.7803472222</v>
      </c>
      <c r="B12" t="s">
        <v>927</v>
      </c>
      <c r="C12" t="s">
        <v>1173</v>
      </c>
      <c r="D12" t="s">
        <v>1180</v>
      </c>
    </row>
    <row r="13" spans="1:4">
      <c r="A13" s="3">
        <v>46297.7804050926</v>
      </c>
      <c r="B13" t="s">
        <v>1172</v>
      </c>
      <c r="C13" t="s">
        <v>1176</v>
      </c>
      <c r="D13" t="s">
        <v>1177</v>
      </c>
    </row>
    <row r="14" spans="1:4">
      <c r="A14" s="3">
        <v>46297.7809375</v>
      </c>
      <c r="B14" t="s">
        <v>1181</v>
      </c>
      <c r="C14" t="s">
        <v>1173</v>
      </c>
      <c r="D14" t="s">
        <v>1180</v>
      </c>
    </row>
    <row r="15" spans="1:4">
      <c r="A15" s="3">
        <v>46297.7809606482</v>
      </c>
      <c r="B15" t="s">
        <v>1172</v>
      </c>
      <c r="C15" t="s">
        <v>1176</v>
      </c>
      <c r="D15" t="s">
        <v>1177</v>
      </c>
    </row>
    <row r="16" spans="1:4">
      <c r="A16" s="3">
        <v>46297.7809837963</v>
      </c>
      <c r="B16" t="s">
        <v>1182</v>
      </c>
      <c r="C16" t="s">
        <v>1183</v>
      </c>
      <c r="D16" t="s">
        <v>1184</v>
      </c>
    </row>
    <row r="17" spans="1:4">
      <c r="A17" s="3">
        <v>46297.7809837963</v>
      </c>
      <c r="B17" t="s">
        <v>913</v>
      </c>
      <c r="C17" t="s">
        <v>1183</v>
      </c>
      <c r="D17" t="s">
        <v>1184</v>
      </c>
    </row>
    <row r="18" spans="1:4">
      <c r="A18" s="3">
        <v>46297.7809837963</v>
      </c>
      <c r="B18" t="s">
        <v>1185</v>
      </c>
      <c r="C18" t="s">
        <v>1183</v>
      </c>
      <c r="D18" t="s">
        <v>1184</v>
      </c>
    </row>
    <row r="19" spans="1:4">
      <c r="A19" s="3">
        <v>46297.7809837963</v>
      </c>
      <c r="B19" t="s">
        <v>1186</v>
      </c>
      <c r="C19" t="s">
        <v>1183</v>
      </c>
      <c r="D19" t="s">
        <v>1184</v>
      </c>
    </row>
    <row r="20" spans="1:4">
      <c r="A20" s="3">
        <v>46297.7809837963</v>
      </c>
      <c r="B20" t="s">
        <v>1187</v>
      </c>
      <c r="C20" t="s">
        <v>1183</v>
      </c>
      <c r="D20" t="s">
        <v>1184</v>
      </c>
    </row>
    <row r="21" spans="1:4">
      <c r="A21" s="3">
        <v>46297.7809837963</v>
      </c>
      <c r="B21" t="s">
        <v>1188</v>
      </c>
      <c r="C21" t="s">
        <v>1183</v>
      </c>
      <c r="D21" t="s">
        <v>1184</v>
      </c>
    </row>
    <row r="22" spans="1:4">
      <c r="A22" s="3">
        <v>46297.7809837963</v>
      </c>
      <c r="B22" t="s">
        <v>1189</v>
      </c>
      <c r="C22" t="s">
        <v>1183</v>
      </c>
      <c r="D22" t="s">
        <v>1184</v>
      </c>
    </row>
    <row r="23" spans="1:4">
      <c r="A23" s="3">
        <v>46297.7809837963</v>
      </c>
      <c r="B23" t="s">
        <v>1190</v>
      </c>
      <c r="C23" t="s">
        <v>1183</v>
      </c>
      <c r="D23" t="s">
        <v>1184</v>
      </c>
    </row>
    <row r="24" spans="1:4">
      <c r="A24" s="3">
        <v>46297.7809837963</v>
      </c>
      <c r="B24" t="s">
        <v>1191</v>
      </c>
      <c r="C24" t="s">
        <v>1183</v>
      </c>
      <c r="D24" t="s">
        <v>1184</v>
      </c>
    </row>
    <row r="25" spans="1:4">
      <c r="A25" s="3">
        <v>46297.850625</v>
      </c>
      <c r="B25" t="s">
        <v>927</v>
      </c>
      <c r="C25" t="s">
        <v>1173</v>
      </c>
      <c r="D25" t="s">
        <v>1180</v>
      </c>
    </row>
    <row r="26" spans="1:4">
      <c r="A26" s="3">
        <v>46297.8508564815</v>
      </c>
      <c r="B26" t="s">
        <v>1172</v>
      </c>
      <c r="C26" t="s">
        <v>1176</v>
      </c>
      <c r="D26" t="s">
        <v>1177</v>
      </c>
    </row>
    <row r="27" spans="1:4">
      <c r="A27" s="4">
        <v>46297.8868865741</v>
      </c>
      <c r="B27" t="s">
        <v>1172</v>
      </c>
      <c r="C27" t="s">
        <v>1176</v>
      </c>
      <c r="D27" t="s">
        <v>1177</v>
      </c>
    </row>
    <row r="28" spans="1:4">
      <c r="A28" s="4">
        <v>46297.8869097222</v>
      </c>
      <c r="B28" t="s">
        <v>1182</v>
      </c>
      <c r="C28" t="s">
        <v>1183</v>
      </c>
      <c r="D28" t="s">
        <v>1184</v>
      </c>
    </row>
    <row r="29" spans="1:4">
      <c r="A29" s="4">
        <v>46297.8869097222</v>
      </c>
      <c r="B29" t="s">
        <v>913</v>
      </c>
      <c r="C29" t="s">
        <v>1183</v>
      </c>
      <c r="D29" t="s">
        <v>1184</v>
      </c>
    </row>
    <row r="30" spans="1:4">
      <c r="A30" s="4">
        <v>46297.8869097222</v>
      </c>
      <c r="B30" t="s">
        <v>1185</v>
      </c>
      <c r="C30" t="s">
        <v>1183</v>
      </c>
      <c r="D30" t="s">
        <v>1184</v>
      </c>
    </row>
    <row r="31" spans="1:4">
      <c r="A31" s="4">
        <v>46297.8869097222</v>
      </c>
      <c r="B31" t="s">
        <v>1186</v>
      </c>
      <c r="C31" t="s">
        <v>1183</v>
      </c>
      <c r="D31" t="s">
        <v>1184</v>
      </c>
    </row>
    <row r="32" spans="1:4">
      <c r="A32" s="4">
        <v>46297.8869097222</v>
      </c>
      <c r="B32" t="s">
        <v>1187</v>
      </c>
      <c r="C32" t="s">
        <v>1183</v>
      </c>
      <c r="D32" t="s">
        <v>1184</v>
      </c>
    </row>
    <row r="33" spans="1:4">
      <c r="A33" s="4">
        <v>46297.8869097222</v>
      </c>
      <c r="B33" t="s">
        <v>1188</v>
      </c>
      <c r="C33" t="s">
        <v>1183</v>
      </c>
      <c r="D33" t="s">
        <v>1184</v>
      </c>
    </row>
    <row r="34" spans="1:4">
      <c r="A34" s="4">
        <v>46297.8869097222</v>
      </c>
      <c r="B34" t="s">
        <v>1189</v>
      </c>
      <c r="C34" t="s">
        <v>1183</v>
      </c>
      <c r="D34" t="s">
        <v>1184</v>
      </c>
    </row>
    <row r="35" spans="1:4">
      <c r="A35" s="4">
        <v>46297.8869097222</v>
      </c>
      <c r="B35" t="s">
        <v>1190</v>
      </c>
      <c r="C35" t="s">
        <v>1183</v>
      </c>
      <c r="D35" t="s">
        <v>1184</v>
      </c>
    </row>
    <row r="36" spans="1:4">
      <c r="A36" s="4">
        <v>46297.8869097222</v>
      </c>
      <c r="B36" t="s">
        <v>1191</v>
      </c>
      <c r="C36" t="s">
        <v>1183</v>
      </c>
      <c r="D36" t="s">
        <v>1184</v>
      </c>
    </row>
    <row r="37" spans="1:4">
      <c r="A37" s="4">
        <v>46297.8869097222</v>
      </c>
      <c r="B37" t="s">
        <v>1181</v>
      </c>
      <c r="C37" t="s">
        <v>1173</v>
      </c>
      <c r="D37" t="s">
        <v>1192</v>
      </c>
    </row>
    <row r="38" spans="1:4">
      <c r="A38" s="4">
        <v>46297.8871990741</v>
      </c>
      <c r="B38" t="s">
        <v>1182</v>
      </c>
      <c r="C38" t="s">
        <v>1183</v>
      </c>
      <c r="D38" t="s">
        <v>1184</v>
      </c>
    </row>
    <row r="39" spans="1:4">
      <c r="A39" s="4">
        <v>46297.8871990741</v>
      </c>
      <c r="B39" t="s">
        <v>913</v>
      </c>
      <c r="C39" t="s">
        <v>1183</v>
      </c>
      <c r="D39" t="s">
        <v>1184</v>
      </c>
    </row>
    <row r="40" spans="1:4">
      <c r="A40" s="4">
        <v>46297.8871990741</v>
      </c>
      <c r="B40" t="s">
        <v>1185</v>
      </c>
      <c r="C40" t="s">
        <v>1183</v>
      </c>
      <c r="D40" t="s">
        <v>1184</v>
      </c>
    </row>
    <row r="41" spans="1:4">
      <c r="A41" s="4">
        <v>46297.8871990741</v>
      </c>
      <c r="B41" t="s">
        <v>1186</v>
      </c>
      <c r="C41" t="s">
        <v>1183</v>
      </c>
      <c r="D41" t="s">
        <v>1184</v>
      </c>
    </row>
    <row r="42" spans="1:4">
      <c r="A42" s="4">
        <v>46297.8871990741</v>
      </c>
      <c r="B42" t="s">
        <v>1187</v>
      </c>
      <c r="C42" t="s">
        <v>1183</v>
      </c>
      <c r="D42" t="s">
        <v>1184</v>
      </c>
    </row>
    <row r="43" spans="1:4">
      <c r="A43" s="4">
        <v>46297.8871990741</v>
      </c>
      <c r="B43" t="s">
        <v>1188</v>
      </c>
      <c r="C43" t="s">
        <v>1183</v>
      </c>
      <c r="D43" t="s">
        <v>1184</v>
      </c>
    </row>
    <row r="44" spans="1:4">
      <c r="A44" s="4">
        <v>46297.8871990741</v>
      </c>
      <c r="B44" t="s">
        <v>1189</v>
      </c>
      <c r="C44" t="s">
        <v>1183</v>
      </c>
      <c r="D44" t="s">
        <v>1184</v>
      </c>
    </row>
    <row r="45" spans="1:4">
      <c r="A45" s="4">
        <v>46297.8871990741</v>
      </c>
      <c r="B45" t="s">
        <v>1190</v>
      </c>
      <c r="C45" t="s">
        <v>1183</v>
      </c>
      <c r="D45" t="s">
        <v>1184</v>
      </c>
    </row>
    <row r="46" spans="1:4">
      <c r="A46" s="4">
        <v>46297.8871990741</v>
      </c>
      <c r="B46" t="s">
        <v>1191</v>
      </c>
      <c r="C46" t="s">
        <v>1183</v>
      </c>
      <c r="D46" t="s">
        <v>1184</v>
      </c>
    </row>
    <row r="47" spans="1:4">
      <c r="A47" s="4">
        <v>46297.8871990741</v>
      </c>
      <c r="B47" t="s">
        <v>1181</v>
      </c>
      <c r="C47" t="s">
        <v>1173</v>
      </c>
      <c r="D47" t="s">
        <v>1192</v>
      </c>
    </row>
    <row r="48" spans="1:4">
      <c r="A48" s="4">
        <v>46297.8873263889</v>
      </c>
      <c r="B48" t="s">
        <v>927</v>
      </c>
      <c r="C48" t="s">
        <v>1173</v>
      </c>
      <c r="D48" t="s">
        <v>1192</v>
      </c>
    </row>
    <row r="49" spans="1:4">
      <c r="A49" s="4">
        <v>46297.8992939815</v>
      </c>
      <c r="B49" t="s">
        <v>1172</v>
      </c>
      <c r="C49" t="s">
        <v>1176</v>
      </c>
      <c r="D49" t="s">
        <v>1177</v>
      </c>
    </row>
    <row r="50" spans="1:4">
      <c r="A50" s="4">
        <v>46297.8993865741</v>
      </c>
      <c r="B50" t="s">
        <v>927</v>
      </c>
      <c r="C50" t="s">
        <v>1176</v>
      </c>
      <c r="D50" t="s">
        <v>1193</v>
      </c>
    </row>
    <row r="51" spans="1:4">
      <c r="A51" s="4">
        <v>46297.8995949074</v>
      </c>
      <c r="B51" t="s">
        <v>927</v>
      </c>
      <c r="C51" t="s">
        <v>1176</v>
      </c>
      <c r="D51" t="s">
        <v>1193</v>
      </c>
    </row>
    <row r="52" spans="1:4">
      <c r="A52" s="4">
        <v>46297.9460185185</v>
      </c>
      <c r="B52" t="s">
        <v>1172</v>
      </c>
      <c r="C52" t="s">
        <v>1176</v>
      </c>
      <c r="D52" t="s">
        <v>1177</v>
      </c>
    </row>
    <row r="53" spans="1:4">
      <c r="A53" s="4">
        <v>46297.946099537</v>
      </c>
      <c r="B53" t="s">
        <v>1179</v>
      </c>
      <c r="C53" t="s">
        <v>1176</v>
      </c>
      <c r="D53" t="s">
        <v>1194</v>
      </c>
    </row>
    <row r="54" spans="1:4">
      <c r="A54" s="4">
        <v>46297.9466203704</v>
      </c>
      <c r="B54" t="s">
        <v>1179</v>
      </c>
      <c r="C54" t="s">
        <v>1176</v>
      </c>
      <c r="D54" t="s">
        <v>1194</v>
      </c>
    </row>
    <row r="55" spans="1:4">
      <c r="A55" s="4">
        <v>46297.9487268518</v>
      </c>
      <c r="B55" t="s">
        <v>1179</v>
      </c>
      <c r="C55" t="s">
        <v>1176</v>
      </c>
      <c r="D55" t="s">
        <v>1194</v>
      </c>
    </row>
    <row r="56" spans="1:4">
      <c r="A56" s="4">
        <v>46297.9573611111</v>
      </c>
      <c r="B56" t="s">
        <v>1172</v>
      </c>
      <c r="C56" t="s">
        <v>1176</v>
      </c>
      <c r="D56" t="s">
        <v>1177</v>
      </c>
    </row>
    <row r="57" spans="1:4">
      <c r="A57" s="4">
        <v>46297.9574537037</v>
      </c>
      <c r="B57" t="s">
        <v>1189</v>
      </c>
      <c r="C57" t="s">
        <v>1173</v>
      </c>
      <c r="D57" t="s">
        <v>1195</v>
      </c>
    </row>
    <row r="58" spans="1:4">
      <c r="A58" s="4">
        <v>46297.9576967593</v>
      </c>
      <c r="B58" t="s">
        <v>1189</v>
      </c>
      <c r="C58" t="s">
        <v>1173</v>
      </c>
      <c r="D58" t="s">
        <v>1195</v>
      </c>
    </row>
    <row r="59" spans="1:4">
      <c r="A59" s="4">
        <v>46297.9590277778</v>
      </c>
      <c r="B59" t="s">
        <v>1179</v>
      </c>
      <c r="C59" t="s">
        <v>1176</v>
      </c>
      <c r="D59" t="s">
        <v>1194</v>
      </c>
    </row>
    <row r="60" spans="1:4">
      <c r="A60" s="4">
        <v>46297.9665277778</v>
      </c>
      <c r="B60" t="s">
        <v>1179</v>
      </c>
      <c r="C60" t="s">
        <v>1176</v>
      </c>
      <c r="D60" t="s">
        <v>1194</v>
      </c>
    </row>
    <row r="61" spans="1:4">
      <c r="A61" s="4">
        <v>46297.9670138889</v>
      </c>
      <c r="B61" t="s">
        <v>1179</v>
      </c>
      <c r="C61" t="s">
        <v>1176</v>
      </c>
      <c r="D61" t="s">
        <v>1194</v>
      </c>
    </row>
    <row r="62" spans="1:4">
      <c r="A62" s="4">
        <v>46298.0255902778</v>
      </c>
      <c r="B62" t="s">
        <v>1179</v>
      </c>
      <c r="C62" t="s">
        <v>1173</v>
      </c>
      <c r="D62" t="s">
        <v>1196</v>
      </c>
    </row>
    <row r="63" spans="1:4">
      <c r="A63" s="4">
        <v>46298.0256712963</v>
      </c>
      <c r="B63" t="s">
        <v>1172</v>
      </c>
      <c r="C63" t="s">
        <v>1176</v>
      </c>
      <c r="D63" t="s">
        <v>1177</v>
      </c>
    </row>
    <row r="64" spans="1:4">
      <c r="A64" s="4">
        <v>46298.0262037037</v>
      </c>
      <c r="B64" t="s">
        <v>1172</v>
      </c>
      <c r="C64" t="s">
        <v>1176</v>
      </c>
      <c r="D64" t="s">
        <v>1177</v>
      </c>
    </row>
    <row r="65" spans="1:4">
      <c r="A65" s="4">
        <v>46298.0262268518</v>
      </c>
      <c r="B65" t="s">
        <v>1179</v>
      </c>
      <c r="C65" t="s">
        <v>1173</v>
      </c>
      <c r="D65" t="s">
        <v>1196</v>
      </c>
    </row>
    <row r="66" spans="1:4">
      <c r="A66" s="4">
        <v>46298.0265740741</v>
      </c>
      <c r="B66" t="s">
        <v>1179</v>
      </c>
      <c r="C66" t="s">
        <v>1173</v>
      </c>
      <c r="D66" t="s">
        <v>1196</v>
      </c>
    </row>
    <row r="67" spans="1:4">
      <c r="A67" s="4">
        <v>46298.0268055556</v>
      </c>
      <c r="B67" t="s">
        <v>1179</v>
      </c>
      <c r="C67" t="s">
        <v>1173</v>
      </c>
      <c r="D67" t="s">
        <v>1196</v>
      </c>
    </row>
    <row r="68" spans="1:4">
      <c r="A68" s="4">
        <v>46298.0268287037</v>
      </c>
      <c r="B68" t="s">
        <v>1172</v>
      </c>
      <c r="C68" t="s">
        <v>1176</v>
      </c>
      <c r="D68" t="s">
        <v>1177</v>
      </c>
    </row>
    <row r="69" spans="1:4">
      <c r="A69" s="4">
        <v>46298.0268402778</v>
      </c>
      <c r="B69" t="s">
        <v>1179</v>
      </c>
      <c r="C69" t="s">
        <v>1173</v>
      </c>
      <c r="D69" t="s">
        <v>1196</v>
      </c>
    </row>
    <row r="70" spans="1:4">
      <c r="A70" s="4">
        <v>46298.030162037</v>
      </c>
      <c r="B70" t="s">
        <v>1179</v>
      </c>
      <c r="C70" t="s">
        <v>1173</v>
      </c>
      <c r="D70" t="s">
        <v>1196</v>
      </c>
    </row>
    <row r="71" spans="1:4">
      <c r="A71" s="4">
        <v>46298.030474537</v>
      </c>
      <c r="B71" t="s">
        <v>1172</v>
      </c>
      <c r="C71" t="s">
        <v>1176</v>
      </c>
      <c r="D71" t="s">
        <v>1177</v>
      </c>
    </row>
    <row r="72" spans="1:4">
      <c r="A72" s="4">
        <v>46298.0304976852</v>
      </c>
      <c r="B72" t="s">
        <v>1179</v>
      </c>
      <c r="C72" t="s">
        <v>1173</v>
      </c>
      <c r="D72" t="s">
        <v>1196</v>
      </c>
    </row>
    <row r="73" spans="1:4">
      <c r="A73" s="4">
        <v>46298.0338310185</v>
      </c>
      <c r="B73" t="s">
        <v>1179</v>
      </c>
      <c r="C73" t="s">
        <v>1173</v>
      </c>
      <c r="D73" t="s">
        <v>1180</v>
      </c>
    </row>
    <row r="74" spans="1:4">
      <c r="A74" s="4">
        <v>46298.0338657407</v>
      </c>
      <c r="B74" t="s">
        <v>1172</v>
      </c>
      <c r="C74" t="s">
        <v>1176</v>
      </c>
      <c r="D74" t="s">
        <v>1177</v>
      </c>
    </row>
    <row r="75" spans="1:4">
      <c r="A75" s="4">
        <v>46298.0338888889</v>
      </c>
      <c r="B75" t="s">
        <v>1179</v>
      </c>
      <c r="C75" t="s">
        <v>1173</v>
      </c>
      <c r="D75" t="s">
        <v>1196</v>
      </c>
    </row>
    <row r="76" spans="1:4">
      <c r="A76" s="4">
        <v>46298.0339236111</v>
      </c>
      <c r="B76" t="s">
        <v>1179</v>
      </c>
      <c r="C76" t="s">
        <v>1173</v>
      </c>
      <c r="D76" t="s">
        <v>1196</v>
      </c>
    </row>
    <row r="77" spans="1:4">
      <c r="A77" s="4">
        <v>46298.0340277778</v>
      </c>
      <c r="B77" t="s">
        <v>1179</v>
      </c>
      <c r="C77" t="s">
        <v>1173</v>
      </c>
      <c r="D77" t="s">
        <v>1196</v>
      </c>
    </row>
    <row r="78" spans="1:4">
      <c r="A78" s="4">
        <v>46298.034537037</v>
      </c>
      <c r="B78" t="s">
        <v>1179</v>
      </c>
      <c r="C78" t="s">
        <v>1173</v>
      </c>
      <c r="D78" t="s">
        <v>1180</v>
      </c>
    </row>
    <row r="79" spans="1:4">
      <c r="A79" s="4">
        <v>46298.0345601852</v>
      </c>
      <c r="B79" t="s">
        <v>1172</v>
      </c>
      <c r="C79" t="s">
        <v>1176</v>
      </c>
      <c r="D79" t="s">
        <v>1177</v>
      </c>
    </row>
    <row r="80" spans="1:4">
      <c r="A80" s="4">
        <v>46298.0345833333</v>
      </c>
      <c r="B80" t="s">
        <v>1179</v>
      </c>
      <c r="C80" t="s">
        <v>1173</v>
      </c>
      <c r="D80" t="s">
        <v>1196</v>
      </c>
    </row>
    <row r="81" spans="1:4">
      <c r="A81" s="4">
        <v>46298.0444328704</v>
      </c>
      <c r="B81" t="s">
        <v>1172</v>
      </c>
      <c r="C81" t="s">
        <v>1176</v>
      </c>
      <c r="D81" t="s">
        <v>1177</v>
      </c>
    </row>
    <row r="82" spans="1:4">
      <c r="A82" s="4">
        <v>46298.0446064815</v>
      </c>
      <c r="B82" t="s">
        <v>1179</v>
      </c>
      <c r="C82" t="s">
        <v>1173</v>
      </c>
      <c r="D82" t="s">
        <v>1196</v>
      </c>
    </row>
    <row r="83" spans="1:4">
      <c r="A83" s="4">
        <v>46298.0469791667</v>
      </c>
      <c r="B83" t="s">
        <v>1172</v>
      </c>
      <c r="C83" t="s">
        <v>1176</v>
      </c>
      <c r="D83" t="s">
        <v>1177</v>
      </c>
    </row>
    <row r="84" spans="1:4">
      <c r="A84" s="4">
        <v>46298.0470023148</v>
      </c>
      <c r="B84" t="s">
        <v>927</v>
      </c>
      <c r="C84" t="s">
        <v>1176</v>
      </c>
      <c r="D84" t="s">
        <v>1193</v>
      </c>
    </row>
    <row r="85" spans="1:4">
      <c r="A85" s="4">
        <v>46298.0478703704</v>
      </c>
      <c r="B85" t="s">
        <v>1179</v>
      </c>
      <c r="C85" t="s">
        <v>1173</v>
      </c>
      <c r="D85" t="s">
        <v>1196</v>
      </c>
    </row>
    <row r="86" spans="1:4">
      <c r="A86" s="4">
        <v>46298.0847337963</v>
      </c>
      <c r="B86" t="s">
        <v>1179</v>
      </c>
      <c r="C86" t="s">
        <v>1173</v>
      </c>
      <c r="D86" t="s">
        <v>1180</v>
      </c>
    </row>
    <row r="87" spans="1:4">
      <c r="A87" s="4">
        <v>46298.0847569444</v>
      </c>
      <c r="B87" t="s">
        <v>1172</v>
      </c>
      <c r="C87" t="s">
        <v>1176</v>
      </c>
      <c r="D87" t="s">
        <v>1177</v>
      </c>
    </row>
    <row r="88" spans="1:4">
      <c r="A88" s="4">
        <v>46298.0847685185</v>
      </c>
      <c r="B88" t="s">
        <v>1179</v>
      </c>
      <c r="C88" t="s">
        <v>1173</v>
      </c>
      <c r="D88" t="s">
        <v>1196</v>
      </c>
    </row>
    <row r="89" spans="1:4">
      <c r="A89" s="4">
        <v>46298.10375</v>
      </c>
      <c r="B89" t="s">
        <v>1172</v>
      </c>
      <c r="C89" t="s">
        <v>1176</v>
      </c>
      <c r="D89" t="s">
        <v>1177</v>
      </c>
    </row>
    <row r="90" spans="1:4">
      <c r="A90" s="4">
        <v>46298.1037731481</v>
      </c>
      <c r="B90" t="s">
        <v>1179</v>
      </c>
      <c r="C90" t="s">
        <v>1173</v>
      </c>
      <c r="D90" t="s">
        <v>1196</v>
      </c>
    </row>
    <row r="91" spans="1:4">
      <c r="A91" s="4">
        <v>46298.1045949074</v>
      </c>
      <c r="B91" t="s">
        <v>1179</v>
      </c>
      <c r="C91" t="s">
        <v>1173</v>
      </c>
      <c r="D91" t="s">
        <v>1196</v>
      </c>
    </row>
    <row r="92" spans="1:4">
      <c r="A92" s="4">
        <v>46298.1088541667</v>
      </c>
      <c r="B92" t="s">
        <v>1172</v>
      </c>
      <c r="C92" t="s">
        <v>1176</v>
      </c>
      <c r="D92" t="s">
        <v>1177</v>
      </c>
    </row>
    <row r="93" spans="1:4">
      <c r="A93" s="4">
        <v>46298.1088888889</v>
      </c>
      <c r="B93" t="s">
        <v>1179</v>
      </c>
      <c r="C93" t="s">
        <v>1173</v>
      </c>
      <c r="D93" t="s">
        <v>1196</v>
      </c>
    </row>
    <row r="94" spans="1:4">
      <c r="A94" s="4">
        <v>46298.1329861111</v>
      </c>
      <c r="B94" t="s">
        <v>1172</v>
      </c>
      <c r="C94" t="s">
        <v>1176</v>
      </c>
      <c r="D94" t="s">
        <v>1177</v>
      </c>
    </row>
    <row r="95" spans="1:4">
      <c r="A95" s="4">
        <v>46298.1330092593</v>
      </c>
      <c r="B95" t="s">
        <v>1179</v>
      </c>
      <c r="C95" t="s">
        <v>1173</v>
      </c>
      <c r="D95" t="s">
        <v>1197</v>
      </c>
    </row>
    <row r="96" spans="1:4">
      <c r="A96" s="4">
        <v>46298.1333912037</v>
      </c>
      <c r="B96" t="s">
        <v>1179</v>
      </c>
      <c r="C96" t="s">
        <v>1176</v>
      </c>
      <c r="D96" t="s">
        <v>1194</v>
      </c>
    </row>
    <row r="97" spans="1:4">
      <c r="A97" s="4">
        <v>46298.1388310185</v>
      </c>
      <c r="B97" t="s">
        <v>1172</v>
      </c>
      <c r="C97" t="s">
        <v>1176</v>
      </c>
      <c r="D97" t="s">
        <v>1177</v>
      </c>
    </row>
    <row r="98" spans="1:4">
      <c r="A98" s="4">
        <v>46298.1388541667</v>
      </c>
      <c r="B98" t="s">
        <v>1179</v>
      </c>
      <c r="C98" t="s">
        <v>1176</v>
      </c>
      <c r="D98" t="s">
        <v>1194</v>
      </c>
    </row>
    <row r="99" spans="1:4">
      <c r="A99" s="4">
        <v>46298.7963078704</v>
      </c>
      <c r="B99" t="s">
        <v>1172</v>
      </c>
      <c r="C99" t="s">
        <v>1176</v>
      </c>
      <c r="D99" t="s">
        <v>1177</v>
      </c>
    </row>
    <row r="100" spans="1:4">
      <c r="A100" s="4">
        <v>46298.7963194444</v>
      </c>
      <c r="B100" t="s">
        <v>1186</v>
      </c>
      <c r="C100" t="s">
        <v>1176</v>
      </c>
      <c r="D100" t="s">
        <v>1198</v>
      </c>
    </row>
    <row r="101" spans="1:4">
      <c r="A101" s="4">
        <v>46298.8166898148</v>
      </c>
      <c r="B101" t="s">
        <v>1172</v>
      </c>
      <c r="C101" t="s">
        <v>1176</v>
      </c>
      <c r="D101" t="s">
        <v>1177</v>
      </c>
    </row>
    <row r="102" spans="1:4">
      <c r="A102" s="4">
        <v>46298.8167361111</v>
      </c>
      <c r="B102" t="s">
        <v>1191</v>
      </c>
      <c r="C102" t="s">
        <v>1176</v>
      </c>
      <c r="D102" t="s">
        <v>1199</v>
      </c>
    </row>
    <row r="103" spans="1:4">
      <c r="A103" s="4">
        <v>46298.8244560185</v>
      </c>
      <c r="B103" t="s">
        <v>1172</v>
      </c>
      <c r="C103" t="s">
        <v>1176</v>
      </c>
      <c r="D103" t="s">
        <v>1177</v>
      </c>
    </row>
    <row r="104" spans="1:4">
      <c r="A104" s="4">
        <v>46298.8244791667</v>
      </c>
      <c r="B104" t="s">
        <v>927</v>
      </c>
      <c r="C104" t="s">
        <v>1173</v>
      </c>
      <c r="D104" t="s">
        <v>1200</v>
      </c>
    </row>
    <row r="105" spans="1:4">
      <c r="A105" s="4">
        <v>46298.8248726852</v>
      </c>
      <c r="B105" t="s">
        <v>1172</v>
      </c>
      <c r="C105" t="s">
        <v>1176</v>
      </c>
      <c r="D105" t="s">
        <v>1177</v>
      </c>
    </row>
    <row r="106" spans="1:4">
      <c r="A106" s="4">
        <v>46298.8248958333</v>
      </c>
      <c r="B106" t="s">
        <v>927</v>
      </c>
      <c r="C106" t="s">
        <v>1173</v>
      </c>
      <c r="D106" t="s">
        <v>1200</v>
      </c>
    </row>
    <row r="107" spans="1:4">
      <c r="A107" s="4">
        <v>46298.8396064815</v>
      </c>
      <c r="B107" t="s">
        <v>1172</v>
      </c>
      <c r="C107" t="s">
        <v>1176</v>
      </c>
      <c r="D107" t="s">
        <v>1177</v>
      </c>
    </row>
    <row r="108" spans="1:4">
      <c r="A108" s="4">
        <v>46298.8396296296</v>
      </c>
      <c r="B108" t="s">
        <v>927</v>
      </c>
      <c r="C108" t="s">
        <v>1173</v>
      </c>
      <c r="D108" t="s">
        <v>1201</v>
      </c>
    </row>
    <row r="109" spans="1:4">
      <c r="A109" s="4">
        <v>46298.8398611111</v>
      </c>
      <c r="B109" t="s">
        <v>1172</v>
      </c>
      <c r="C109" t="s">
        <v>1176</v>
      </c>
      <c r="D109" t="s">
        <v>1177</v>
      </c>
    </row>
    <row r="110" spans="1:4">
      <c r="A110" s="4">
        <v>46298.8398958333</v>
      </c>
      <c r="B110" t="s">
        <v>1186</v>
      </c>
      <c r="C110" t="s">
        <v>1176</v>
      </c>
      <c r="D110" t="s">
        <v>1198</v>
      </c>
    </row>
    <row r="111" spans="1:4">
      <c r="A111" s="4">
        <v>46298.8413773148</v>
      </c>
      <c r="B111" t="s">
        <v>927</v>
      </c>
      <c r="C111" t="s">
        <v>1173</v>
      </c>
      <c r="D111" t="s">
        <v>1180</v>
      </c>
    </row>
    <row r="112" spans="1:4">
      <c r="A112" s="4">
        <v>46298.841412037</v>
      </c>
      <c r="B112" t="s">
        <v>1172</v>
      </c>
      <c r="C112" t="s">
        <v>1176</v>
      </c>
      <c r="D112" t="s">
        <v>1177</v>
      </c>
    </row>
    <row r="113" spans="1:4">
      <c r="A113" s="4">
        <v>46298.8414351852</v>
      </c>
      <c r="B113" t="s">
        <v>927</v>
      </c>
      <c r="C113" t="s">
        <v>1173</v>
      </c>
      <c r="D113" t="s">
        <v>1201</v>
      </c>
    </row>
    <row r="114" spans="1:4">
      <c r="A114" s="4">
        <v>46298.8415856482</v>
      </c>
      <c r="B114" t="s">
        <v>927</v>
      </c>
      <c r="C114" t="s">
        <v>1173</v>
      </c>
      <c r="D114" t="s">
        <v>1201</v>
      </c>
    </row>
    <row r="115" spans="1:4">
      <c r="A115" s="4">
        <v>46298.8420833333</v>
      </c>
      <c r="B115" t="s">
        <v>927</v>
      </c>
      <c r="C115" t="s">
        <v>1176</v>
      </c>
      <c r="D115" t="s">
        <v>1193</v>
      </c>
    </row>
    <row r="116" spans="1:4">
      <c r="A116" s="4">
        <v>46298.8516203704</v>
      </c>
      <c r="B116" t="s">
        <v>1172</v>
      </c>
      <c r="C116" t="s">
        <v>1176</v>
      </c>
      <c r="D116" t="s">
        <v>1177</v>
      </c>
    </row>
    <row r="117" spans="1:4">
      <c r="A117" s="4">
        <v>46298.8516435185</v>
      </c>
      <c r="B117" t="s">
        <v>927</v>
      </c>
      <c r="C117" t="s">
        <v>1176</v>
      </c>
      <c r="D117" t="s">
        <v>1193</v>
      </c>
    </row>
    <row r="118" spans="1:4">
      <c r="A118" s="4">
        <v>46298.8542592593</v>
      </c>
      <c r="B118" t="s">
        <v>1172</v>
      </c>
      <c r="C118" t="s">
        <v>1176</v>
      </c>
      <c r="D118" t="s">
        <v>1177</v>
      </c>
    </row>
    <row r="119" spans="1:4">
      <c r="A119" s="4">
        <v>46298.8543402778</v>
      </c>
      <c r="B119" t="s">
        <v>927</v>
      </c>
      <c r="C119" t="s">
        <v>1176</v>
      </c>
      <c r="D119" t="s">
        <v>1193</v>
      </c>
    </row>
    <row r="120" spans="1:4">
      <c r="A120" s="4">
        <v>46298.8595023148</v>
      </c>
      <c r="B120" t="s">
        <v>1172</v>
      </c>
      <c r="C120" t="s">
        <v>1176</v>
      </c>
      <c r="D120" t="s">
        <v>1177</v>
      </c>
    </row>
    <row r="121" spans="1:4">
      <c r="A121" s="4">
        <v>46298.859525463</v>
      </c>
      <c r="B121" t="s">
        <v>927</v>
      </c>
      <c r="C121" t="s">
        <v>1176</v>
      </c>
      <c r="D121" t="s">
        <v>1193</v>
      </c>
    </row>
    <row r="122" spans="1:4">
      <c r="A122" s="4">
        <v>46298.8611689815</v>
      </c>
      <c r="B122" t="s">
        <v>1172</v>
      </c>
      <c r="C122" t="s">
        <v>1176</v>
      </c>
      <c r="D122" t="s">
        <v>1177</v>
      </c>
    </row>
    <row r="123" spans="1:4">
      <c r="A123" s="4">
        <v>46298.8612268519</v>
      </c>
      <c r="B123" t="s">
        <v>927</v>
      </c>
      <c r="C123" t="s">
        <v>1173</v>
      </c>
      <c r="D123" t="s">
        <v>1202</v>
      </c>
    </row>
    <row r="124" spans="1:4">
      <c r="A124" s="4">
        <v>46298.8630671296</v>
      </c>
      <c r="B124" t="s">
        <v>1172</v>
      </c>
      <c r="C124" t="s">
        <v>1176</v>
      </c>
      <c r="D124" t="s">
        <v>1177</v>
      </c>
    </row>
    <row r="125" spans="1:4">
      <c r="A125" s="4">
        <v>46298.8631365741</v>
      </c>
      <c r="B125" t="s">
        <v>927</v>
      </c>
      <c r="C125" t="s">
        <v>1176</v>
      </c>
      <c r="D125" t="s">
        <v>1193</v>
      </c>
    </row>
    <row r="126" spans="1:4">
      <c r="A126" s="4">
        <v>46298.8642592593</v>
      </c>
      <c r="B126" t="s">
        <v>1172</v>
      </c>
      <c r="C126" t="s">
        <v>1176</v>
      </c>
      <c r="D126" t="s">
        <v>1177</v>
      </c>
    </row>
    <row r="127" spans="1:4">
      <c r="A127" s="4">
        <v>46298.8642824074</v>
      </c>
      <c r="B127" t="s">
        <v>927</v>
      </c>
      <c r="C127" t="s">
        <v>1173</v>
      </c>
      <c r="D127" t="s">
        <v>1203</v>
      </c>
    </row>
    <row r="128" spans="1:4">
      <c r="A128" s="4">
        <v>46298.8644328704</v>
      </c>
      <c r="B128" t="s">
        <v>927</v>
      </c>
      <c r="C128" t="s">
        <v>1176</v>
      </c>
      <c r="D128" t="s">
        <v>1193</v>
      </c>
    </row>
    <row r="129" spans="1:4">
      <c r="A129" s="4">
        <v>46303.3919560185</v>
      </c>
      <c r="B129" t="s">
        <v>1172</v>
      </c>
      <c r="C129" t="s">
        <v>1176</v>
      </c>
      <c r="D129" t="s">
        <v>1177</v>
      </c>
    </row>
    <row r="130" spans="1:4">
      <c r="A130" s="4">
        <v>46303.3919675926</v>
      </c>
      <c r="B130" t="s">
        <v>1186</v>
      </c>
      <c r="C130" t="s">
        <v>1176</v>
      </c>
      <c r="D130" t="s">
        <v>1204</v>
      </c>
    </row>
    <row r="131" spans="1:4">
      <c r="A131" s="4">
        <v>46303.3926041667</v>
      </c>
      <c r="B131" t="s">
        <v>1172</v>
      </c>
      <c r="C131" t="s">
        <v>1176</v>
      </c>
      <c r="D131" t="s">
        <v>1177</v>
      </c>
    </row>
    <row r="132" spans="1:4">
      <c r="A132" s="4">
        <v>46303.3926157407</v>
      </c>
      <c r="B132" t="s">
        <v>1186</v>
      </c>
      <c r="C132" t="s">
        <v>1176</v>
      </c>
      <c r="D132" t="s">
        <v>1204</v>
      </c>
    </row>
    <row r="133" spans="1:4">
      <c r="A133" s="4">
        <v>46303.3928009259</v>
      </c>
      <c r="B133" t="s">
        <v>1172</v>
      </c>
      <c r="C133" t="s">
        <v>1176</v>
      </c>
      <c r="D133" t="s">
        <v>1177</v>
      </c>
    </row>
    <row r="134" spans="1:4">
      <c r="A134" s="4">
        <v>46303.3928125</v>
      </c>
      <c r="B134" t="s">
        <v>1186</v>
      </c>
      <c r="C134" t="s">
        <v>1176</v>
      </c>
      <c r="D134" t="s">
        <v>1204</v>
      </c>
    </row>
    <row r="135" spans="1:4">
      <c r="A135" s="4">
        <v>46303.4509837963</v>
      </c>
      <c r="B135" t="s">
        <v>1172</v>
      </c>
      <c r="C135" t="s">
        <v>1176</v>
      </c>
      <c r="D135" t="s">
        <v>1177</v>
      </c>
    </row>
    <row r="136" spans="1:4">
      <c r="A136" s="4">
        <v>46303.4509953704</v>
      </c>
      <c r="B136" t="s">
        <v>1186</v>
      </c>
      <c r="C136" t="s">
        <v>1176</v>
      </c>
      <c r="D136" t="s">
        <v>1204</v>
      </c>
    </row>
    <row r="137" spans="1:4">
      <c r="A137" s="4">
        <v>46303.4512731481</v>
      </c>
      <c r="B137" t="s">
        <v>1186</v>
      </c>
      <c r="C137" t="s">
        <v>1176</v>
      </c>
      <c r="D137" t="s">
        <v>1204</v>
      </c>
    </row>
    <row r="138" spans="1:4">
      <c r="A138" s="4">
        <v>46303.4519675926</v>
      </c>
      <c r="B138" t="s">
        <v>1172</v>
      </c>
      <c r="C138" t="s">
        <v>1176</v>
      </c>
      <c r="D138" t="s">
        <v>1177</v>
      </c>
    </row>
    <row r="139" spans="1:4">
      <c r="A139" s="4">
        <v>46303.4519791667</v>
      </c>
      <c r="B139" t="s">
        <v>1186</v>
      </c>
      <c r="C139" t="s">
        <v>1176</v>
      </c>
      <c r="D139" t="s">
        <v>1204</v>
      </c>
    </row>
    <row r="140" spans="1:4">
      <c r="A140" s="4">
        <v>46304.4400462963</v>
      </c>
      <c r="B140" t="s">
        <v>1172</v>
      </c>
      <c r="C140" t="s">
        <v>1176</v>
      </c>
      <c r="D140" t="s">
        <v>1177</v>
      </c>
    </row>
    <row r="141" spans="1:4">
      <c r="A141" s="4">
        <v>46304.4400694444</v>
      </c>
      <c r="B141" t="s">
        <v>1191</v>
      </c>
      <c r="C141" t="s">
        <v>1173</v>
      </c>
      <c r="D141" t="s">
        <v>1205</v>
      </c>
    </row>
    <row r="142" spans="1:4">
      <c r="A142" s="4">
        <v>46304.4403240741</v>
      </c>
      <c r="B142" t="s">
        <v>1191</v>
      </c>
      <c r="C142" t="s">
        <v>1173</v>
      </c>
      <c r="D142" t="s">
        <v>1205</v>
      </c>
    </row>
    <row r="143" spans="1:4">
      <c r="A143" s="4">
        <v>46304.4405787037</v>
      </c>
      <c r="B143" t="s">
        <v>1191</v>
      </c>
      <c r="C143" t="s">
        <v>1173</v>
      </c>
      <c r="D143" t="s">
        <v>1205</v>
      </c>
    </row>
    <row r="144" spans="1:4">
      <c r="A144" s="4">
        <v>46304.4407407407</v>
      </c>
      <c r="B144" t="s">
        <v>1172</v>
      </c>
      <c r="C144" t="s">
        <v>1176</v>
      </c>
      <c r="D144" t="s">
        <v>1177</v>
      </c>
    </row>
    <row r="145" spans="1:4">
      <c r="A145" s="4">
        <v>46304.4407407407</v>
      </c>
      <c r="B145" t="s">
        <v>1191</v>
      </c>
      <c r="C145" t="s">
        <v>1173</v>
      </c>
      <c r="D145" t="s">
        <v>1205</v>
      </c>
    </row>
    <row r="146" spans="1:4">
      <c r="A146" s="4">
        <v>46304.4407986111</v>
      </c>
      <c r="B146" t="s">
        <v>1172</v>
      </c>
      <c r="C146" t="s">
        <v>1176</v>
      </c>
      <c r="D146" t="s">
        <v>1177</v>
      </c>
    </row>
    <row r="147" spans="1:4">
      <c r="A147" s="4">
        <v>46304.4408101852</v>
      </c>
      <c r="B147" t="s">
        <v>1191</v>
      </c>
      <c r="C147" t="s">
        <v>1173</v>
      </c>
      <c r="D147" t="s">
        <v>1205</v>
      </c>
    </row>
    <row r="148" spans="1:4">
      <c r="A148" s="4">
        <v>46304.4412962963</v>
      </c>
      <c r="B148" t="s">
        <v>1191</v>
      </c>
      <c r="C148" t="s">
        <v>1173</v>
      </c>
      <c r="D148" t="s">
        <v>1205</v>
      </c>
    </row>
    <row r="149" spans="1:4">
      <c r="A149" s="4">
        <v>46304.4712847222</v>
      </c>
      <c r="B149" t="s">
        <v>1172</v>
      </c>
      <c r="C149" t="s">
        <v>1176</v>
      </c>
      <c r="D149" t="s">
        <v>1177</v>
      </c>
    </row>
    <row r="150" spans="1:4">
      <c r="A150" s="4">
        <v>46304.4713078704</v>
      </c>
      <c r="B150" t="s">
        <v>1191</v>
      </c>
      <c r="C150" t="s">
        <v>1176</v>
      </c>
      <c r="D150" t="s">
        <v>1194</v>
      </c>
    </row>
    <row r="151" spans="1:4">
      <c r="A151" s="4">
        <v>46304.4930555556</v>
      </c>
      <c r="B151" t="s">
        <v>1172</v>
      </c>
      <c r="C151" t="s">
        <v>1176</v>
      </c>
      <c r="D151" t="s">
        <v>1177</v>
      </c>
    </row>
    <row r="152" spans="1:4">
      <c r="A152" s="4">
        <v>46304.4931481481</v>
      </c>
      <c r="B152" t="s">
        <v>1191</v>
      </c>
      <c r="C152" t="s">
        <v>1173</v>
      </c>
      <c r="D152" t="s">
        <v>1206</v>
      </c>
    </row>
    <row r="153" spans="1:4">
      <c r="A153" s="4">
        <v>46304.4933101852</v>
      </c>
      <c r="B153" t="s">
        <v>1191</v>
      </c>
      <c r="C153" t="s">
        <v>1173</v>
      </c>
      <c r="D153" t="s">
        <v>1207</v>
      </c>
    </row>
    <row r="154" spans="1:4">
      <c r="A154" s="4">
        <v>46304.4933449074</v>
      </c>
      <c r="B154" t="s">
        <v>1191</v>
      </c>
      <c r="C154" t="s">
        <v>1173</v>
      </c>
      <c r="D154" t="s">
        <v>1208</v>
      </c>
    </row>
    <row r="155" spans="1:4">
      <c r="A155" s="4">
        <v>46304.4933912037</v>
      </c>
      <c r="B155" t="s">
        <v>1191</v>
      </c>
      <c r="C155" t="s">
        <v>1176</v>
      </c>
      <c r="D155" t="s">
        <v>1194</v>
      </c>
    </row>
    <row r="156" spans="1:4">
      <c r="A156" s="4">
        <v>46304.5648726852</v>
      </c>
      <c r="B156" t="s">
        <v>1172</v>
      </c>
      <c r="C156" t="s">
        <v>1176</v>
      </c>
      <c r="D156" t="s">
        <v>1177</v>
      </c>
    </row>
    <row r="157" spans="1:4">
      <c r="A157" s="4">
        <v>46304.5648958333</v>
      </c>
      <c r="B157" t="s">
        <v>1191</v>
      </c>
      <c r="C157" t="s">
        <v>1176</v>
      </c>
      <c r="D157" t="s">
        <v>1194</v>
      </c>
    </row>
    <row r="158" spans="1:4">
      <c r="A158" s="4">
        <v>46305.4865972222</v>
      </c>
      <c r="B158" t="s">
        <v>1172</v>
      </c>
      <c r="C158" t="s">
        <v>1176</v>
      </c>
      <c r="D158" t="s">
        <v>1177</v>
      </c>
    </row>
    <row r="159" spans="1:4">
      <c r="A159" s="4">
        <v>46305.4866203704</v>
      </c>
      <c r="B159" t="s">
        <v>1191</v>
      </c>
      <c r="C159" t="s">
        <v>1176</v>
      </c>
      <c r="D159" t="s">
        <v>1209</v>
      </c>
    </row>
    <row r="160" spans="1:4">
      <c r="A160" s="4">
        <v>46305.4908217593</v>
      </c>
      <c r="B160" t="s">
        <v>1172</v>
      </c>
      <c r="C160" t="s">
        <v>1176</v>
      </c>
      <c r="D160" t="s">
        <v>1177</v>
      </c>
    </row>
    <row r="161" spans="1:4">
      <c r="A161" s="4">
        <v>46305.4908333333</v>
      </c>
      <c r="B161" t="s">
        <v>1191</v>
      </c>
      <c r="C161" t="s">
        <v>1176</v>
      </c>
      <c r="D161" t="s">
        <v>1209</v>
      </c>
    </row>
    <row r="162" spans="1:4">
      <c r="A162" s="4">
        <v>46305.4925810185</v>
      </c>
      <c r="B162" t="s">
        <v>1172</v>
      </c>
      <c r="C162" t="s">
        <v>1176</v>
      </c>
      <c r="D162" t="s">
        <v>1177</v>
      </c>
    </row>
    <row r="163" spans="1:4">
      <c r="A163" s="4">
        <v>46305.4926041667</v>
      </c>
      <c r="B163" t="s">
        <v>1191</v>
      </c>
      <c r="C163" t="s">
        <v>1176</v>
      </c>
      <c r="D163" t="s">
        <v>1194</v>
      </c>
    </row>
    <row r="164" spans="1:4">
      <c r="A164" s="4">
        <v>46305.4954513889</v>
      </c>
      <c r="B164" t="s">
        <v>1172</v>
      </c>
      <c r="C164" t="s">
        <v>1176</v>
      </c>
      <c r="D164" t="s">
        <v>1177</v>
      </c>
    </row>
    <row r="165" spans="1:4">
      <c r="A165" s="4">
        <v>46305.495474537</v>
      </c>
      <c r="B165" t="s">
        <v>1191</v>
      </c>
      <c r="C165" t="s">
        <v>1176</v>
      </c>
      <c r="D165" t="s">
        <v>1209</v>
      </c>
    </row>
    <row r="166" spans="1:4">
      <c r="A166" s="4">
        <v>46305.4986689815</v>
      </c>
      <c r="B166" t="s">
        <v>1172</v>
      </c>
      <c r="C166" t="s">
        <v>1176</v>
      </c>
      <c r="D166" t="s">
        <v>1177</v>
      </c>
    </row>
    <row r="167" spans="1:4">
      <c r="A167" s="4">
        <v>46305.4986921296</v>
      </c>
      <c r="B167" t="s">
        <v>1191</v>
      </c>
      <c r="C167" t="s">
        <v>1176</v>
      </c>
      <c r="D167" t="s">
        <v>1210</v>
      </c>
    </row>
    <row r="168" spans="1:4">
      <c r="A168" s="4">
        <v>46305.4998263889</v>
      </c>
      <c r="B168" t="s">
        <v>1172</v>
      </c>
      <c r="C168" t="s">
        <v>1176</v>
      </c>
      <c r="D168" t="s">
        <v>1177</v>
      </c>
    </row>
    <row r="169" spans="1:4">
      <c r="A169" s="4">
        <v>46305.499837963</v>
      </c>
      <c r="B169" t="s">
        <v>1191</v>
      </c>
      <c r="C169" t="s">
        <v>1176</v>
      </c>
      <c r="D169" t="s">
        <v>1211</v>
      </c>
    </row>
    <row r="170" spans="1:4">
      <c r="A170" s="4">
        <v>46305.5008912037</v>
      </c>
      <c r="B170" t="s">
        <v>1172</v>
      </c>
      <c r="C170" t="s">
        <v>1176</v>
      </c>
      <c r="D170" t="s">
        <v>1177</v>
      </c>
    </row>
    <row r="171" spans="1:4">
      <c r="A171" s="4">
        <v>46305.5009143519</v>
      </c>
      <c r="B171" t="s">
        <v>1191</v>
      </c>
      <c r="C171" t="s">
        <v>1176</v>
      </c>
      <c r="D171" t="s">
        <v>1209</v>
      </c>
    </row>
    <row r="172" spans="1:4">
      <c r="A172" s="4">
        <v>46307.6005671296</v>
      </c>
      <c r="B172" t="s">
        <v>1172</v>
      </c>
      <c r="C172" t="s">
        <v>1176</v>
      </c>
      <c r="D172" t="s">
        <v>1177</v>
      </c>
    </row>
    <row r="173" spans="1:4">
      <c r="A173" s="4">
        <v>46307.6005787037</v>
      </c>
      <c r="B173" t="s">
        <v>1212</v>
      </c>
      <c r="C173" t="s">
        <v>1173</v>
      </c>
      <c r="D173" t="s">
        <v>1213</v>
      </c>
    </row>
    <row r="174" spans="1:4">
      <c r="A174" s="4">
        <v>46307.6007638889</v>
      </c>
      <c r="B174" t="s">
        <v>927</v>
      </c>
      <c r="C174" t="s">
        <v>1173</v>
      </c>
      <c r="D174" t="s">
        <v>1214</v>
      </c>
    </row>
    <row r="175" spans="1:4">
      <c r="A175" s="4">
        <v>46307.6008680556</v>
      </c>
      <c r="B175" t="s">
        <v>927</v>
      </c>
      <c r="C175" t="s">
        <v>1176</v>
      </c>
      <c r="D175" t="s">
        <v>1193</v>
      </c>
    </row>
    <row r="176" spans="1:4">
      <c r="A176" s="4">
        <v>46307.6016666667</v>
      </c>
      <c r="B176" t="s">
        <v>1172</v>
      </c>
      <c r="C176" t="s">
        <v>1176</v>
      </c>
      <c r="D176" t="s">
        <v>1177</v>
      </c>
    </row>
    <row r="177" spans="1:4">
      <c r="A177" s="4">
        <v>46307.6016782407</v>
      </c>
      <c r="B177" t="s">
        <v>927</v>
      </c>
      <c r="C177" t="s">
        <v>1176</v>
      </c>
      <c r="D177" t="s">
        <v>1193</v>
      </c>
    </row>
    <row r="178" spans="1:4">
      <c r="A178" s="4">
        <v>46307.6960185185</v>
      </c>
      <c r="B178" t="s">
        <v>1172</v>
      </c>
      <c r="C178" t="s">
        <v>1176</v>
      </c>
      <c r="D178" t="s">
        <v>1177</v>
      </c>
    </row>
    <row r="179" spans="1:4">
      <c r="A179" s="4">
        <v>46307.6960300926</v>
      </c>
      <c r="B179" t="s">
        <v>927</v>
      </c>
      <c r="C179" t="s">
        <v>1173</v>
      </c>
      <c r="D179" t="s">
        <v>1215</v>
      </c>
    </row>
    <row r="180" spans="1:4">
      <c r="A180" s="4">
        <v>46307.6983217593</v>
      </c>
      <c r="B180" t="s">
        <v>1172</v>
      </c>
      <c r="C180" t="s">
        <v>1176</v>
      </c>
      <c r="D180" t="s">
        <v>1177</v>
      </c>
    </row>
    <row r="181" spans="1:4">
      <c r="A181" s="4">
        <v>46307.6983449074</v>
      </c>
      <c r="B181" t="s">
        <v>1186</v>
      </c>
      <c r="C181" t="s">
        <v>1176</v>
      </c>
      <c r="D181" t="s">
        <v>1198</v>
      </c>
    </row>
    <row r="182" spans="1:4">
      <c r="A182" s="4">
        <v>46307.6984722222</v>
      </c>
      <c r="B182" t="s">
        <v>1172</v>
      </c>
      <c r="C182" t="s">
        <v>1176</v>
      </c>
      <c r="D182" t="s">
        <v>1177</v>
      </c>
    </row>
    <row r="183" spans="1:4">
      <c r="A183" s="4">
        <v>46307.6984953704</v>
      </c>
      <c r="B183" t="s">
        <v>927</v>
      </c>
      <c r="C183" t="s">
        <v>1173</v>
      </c>
      <c r="D183" t="s">
        <v>1201</v>
      </c>
    </row>
    <row r="184" spans="1:4">
      <c r="A184" s="4">
        <v>46307.6986689815</v>
      </c>
      <c r="B184" t="s">
        <v>927</v>
      </c>
      <c r="C184" t="s">
        <v>1176</v>
      </c>
      <c r="D184" t="s">
        <v>1193</v>
      </c>
    </row>
    <row r="185" spans="1:4">
      <c r="A185" s="4">
        <v>46307.7034953704</v>
      </c>
      <c r="B185" t="s">
        <v>1172</v>
      </c>
      <c r="C185" t="s">
        <v>1176</v>
      </c>
      <c r="D185" t="s">
        <v>1177</v>
      </c>
    </row>
    <row r="186" spans="1:4">
      <c r="A186" s="4">
        <v>46307.7035185185</v>
      </c>
      <c r="B186" t="s">
        <v>1186</v>
      </c>
      <c r="C186" t="s">
        <v>1176</v>
      </c>
      <c r="D186" t="s">
        <v>1198</v>
      </c>
    </row>
    <row r="187" spans="1:4">
      <c r="A187" s="4">
        <v>46307.7058564815</v>
      </c>
      <c r="B187" t="s">
        <v>1172</v>
      </c>
      <c r="C187" t="s">
        <v>1176</v>
      </c>
      <c r="D187" t="s">
        <v>1177</v>
      </c>
    </row>
    <row r="188" spans="1:4">
      <c r="A188" s="4">
        <v>46307.7058680556</v>
      </c>
      <c r="B188" t="s">
        <v>927</v>
      </c>
      <c r="C188" t="s">
        <v>1176</v>
      </c>
      <c r="D188" t="s">
        <v>1193</v>
      </c>
    </row>
    <row r="189" spans="1:4">
      <c r="A189" s="4">
        <v>46308.4907291667</v>
      </c>
      <c r="B189" t="s">
        <v>1172</v>
      </c>
      <c r="C189" t="s">
        <v>1176</v>
      </c>
      <c r="D189" t="s">
        <v>1177</v>
      </c>
    </row>
    <row r="190" spans="1:4">
      <c r="A190" s="4">
        <v>46308.4907407407</v>
      </c>
      <c r="B190" t="s">
        <v>1216</v>
      </c>
      <c r="C190" t="s">
        <v>1173</v>
      </c>
      <c r="D190" t="s">
        <v>1217</v>
      </c>
    </row>
    <row r="191" spans="1:4">
      <c r="A191" s="4">
        <v>46308.4908564815</v>
      </c>
      <c r="B191" t="s">
        <v>1191</v>
      </c>
      <c r="C191" t="s">
        <v>1176</v>
      </c>
      <c r="D191" t="s">
        <v>1218</v>
      </c>
    </row>
    <row r="192" spans="1:4">
      <c r="A192" s="4">
        <v>46308.4933564815</v>
      </c>
      <c r="B192" t="s">
        <v>1172</v>
      </c>
      <c r="C192" t="s">
        <v>1176</v>
      </c>
      <c r="D192" t="s">
        <v>1177</v>
      </c>
    </row>
    <row r="193" spans="1:4">
      <c r="A193" s="4">
        <v>46308.4933680556</v>
      </c>
      <c r="B193" t="s">
        <v>1186</v>
      </c>
      <c r="C193" t="s">
        <v>1176</v>
      </c>
      <c r="D193" t="s">
        <v>1198</v>
      </c>
    </row>
    <row r="194" spans="1:4">
      <c r="A194" s="4">
        <v>46308.624375</v>
      </c>
      <c r="B194" t="s">
        <v>1172</v>
      </c>
      <c r="C194" t="s">
        <v>1176</v>
      </c>
      <c r="D194" t="s">
        <v>1177</v>
      </c>
    </row>
    <row r="195" spans="1:4">
      <c r="A195" s="4">
        <v>46308.6243865741</v>
      </c>
      <c r="B195" t="s">
        <v>1186</v>
      </c>
      <c r="C195" t="s">
        <v>1173</v>
      </c>
      <c r="D195" t="s">
        <v>1219</v>
      </c>
    </row>
    <row r="196" spans="1:4">
      <c r="A196" s="4">
        <v>46308.6244328704</v>
      </c>
      <c r="B196" t="s">
        <v>1186</v>
      </c>
      <c r="C196" t="s">
        <v>1173</v>
      </c>
      <c r="D196" t="s">
        <v>1219</v>
      </c>
    </row>
    <row r="197" spans="1:4">
      <c r="A197" s="4">
        <v>46308.624525463</v>
      </c>
      <c r="B197" t="s">
        <v>1186</v>
      </c>
      <c r="C197" t="s">
        <v>1176</v>
      </c>
      <c r="D197" t="s">
        <v>1220</v>
      </c>
    </row>
    <row r="198" spans="1:4">
      <c r="A198" s="4">
        <v>46308.629212963</v>
      </c>
      <c r="B198" t="s">
        <v>1172</v>
      </c>
      <c r="C198" t="s">
        <v>1176</v>
      </c>
      <c r="D198" t="s">
        <v>1177</v>
      </c>
    </row>
    <row r="199" spans="1:4">
      <c r="A199" s="4">
        <v>46308.6292361111</v>
      </c>
      <c r="B199" t="s">
        <v>927</v>
      </c>
      <c r="C199" t="s">
        <v>1176</v>
      </c>
      <c r="D199" t="s">
        <v>1193</v>
      </c>
    </row>
    <row r="200" spans="1:4">
      <c r="A200" s="4">
        <v>46308.6308333333</v>
      </c>
      <c r="B200" t="s">
        <v>1172</v>
      </c>
      <c r="C200" t="s">
        <v>1176</v>
      </c>
      <c r="D200" t="s">
        <v>1177</v>
      </c>
    </row>
    <row r="201" spans="1:4">
      <c r="A201" s="4">
        <v>46308.6308449074</v>
      </c>
      <c r="B201" t="s">
        <v>927</v>
      </c>
      <c r="C201" t="s">
        <v>1176</v>
      </c>
      <c r="D201" t="s">
        <v>1193</v>
      </c>
    </row>
    <row r="202" spans="1:4">
      <c r="A202" s="4">
        <v>46308.6596759259</v>
      </c>
      <c r="B202" t="s">
        <v>1172</v>
      </c>
      <c r="C202" t="s">
        <v>1176</v>
      </c>
      <c r="D202" t="s">
        <v>1177</v>
      </c>
    </row>
    <row r="203" spans="1:4">
      <c r="A203" s="4">
        <v>46308.6596875</v>
      </c>
      <c r="B203" t="s">
        <v>927</v>
      </c>
      <c r="C203" t="s">
        <v>1176</v>
      </c>
      <c r="D203" t="s">
        <v>1193</v>
      </c>
    </row>
    <row r="204" spans="1:4">
      <c r="A204" s="4">
        <v>46308.6606597222</v>
      </c>
      <c r="B204" t="s">
        <v>1172</v>
      </c>
      <c r="C204" t="s">
        <v>1176</v>
      </c>
      <c r="D204" t="s">
        <v>1177</v>
      </c>
    </row>
    <row r="205" spans="1:4">
      <c r="A205" s="4">
        <v>46308.6606828704</v>
      </c>
      <c r="B205" t="s">
        <v>927</v>
      </c>
      <c r="C205" t="s">
        <v>1176</v>
      </c>
      <c r="D205" t="s">
        <v>1193</v>
      </c>
    </row>
    <row r="206" spans="1:4">
      <c r="A206" s="4">
        <v>46308.6922569444</v>
      </c>
      <c r="B206" t="s">
        <v>1172</v>
      </c>
      <c r="C206" t="s">
        <v>1176</v>
      </c>
      <c r="D206" t="s">
        <v>1177</v>
      </c>
    </row>
    <row r="207" spans="1:4">
      <c r="A207" s="4">
        <v>46308.6922685185</v>
      </c>
      <c r="B207" t="s">
        <v>1186</v>
      </c>
      <c r="C207" t="s">
        <v>1176</v>
      </c>
      <c r="D207" t="s">
        <v>1198</v>
      </c>
    </row>
    <row r="208" spans="1:4">
      <c r="A208" s="4">
        <v>46308.6924189815</v>
      </c>
      <c r="B208" t="s">
        <v>1186</v>
      </c>
      <c r="C208" t="s">
        <v>1176</v>
      </c>
      <c r="D208" t="s">
        <v>1198</v>
      </c>
    </row>
    <row r="209" spans="1:4">
      <c r="A209" s="4">
        <v>46308.7099074074</v>
      </c>
      <c r="B209" t="s">
        <v>1172</v>
      </c>
      <c r="C209" t="s">
        <v>1176</v>
      </c>
      <c r="D209" t="s">
        <v>1177</v>
      </c>
    </row>
    <row r="210" spans="1:4">
      <c r="A210" s="4">
        <v>46308.7099305556</v>
      </c>
      <c r="B210" t="s">
        <v>927</v>
      </c>
      <c r="C210" t="s">
        <v>1176</v>
      </c>
      <c r="D210" t="s">
        <v>1193</v>
      </c>
    </row>
    <row r="211" spans="1:4">
      <c r="A211" s="4">
        <v>46309.6813657407</v>
      </c>
      <c r="B211" t="s">
        <v>1172</v>
      </c>
      <c r="C211" t="s">
        <v>1176</v>
      </c>
      <c r="D211" t="s">
        <v>1177</v>
      </c>
    </row>
    <row r="212" spans="1:4">
      <c r="A212" s="4">
        <v>46309.6813773148</v>
      </c>
      <c r="B212" t="s">
        <v>1186</v>
      </c>
      <c r="C212" t="s">
        <v>1176</v>
      </c>
      <c r="D212" t="s">
        <v>1198</v>
      </c>
    </row>
    <row r="213" spans="1:4">
      <c r="A213" s="4">
        <v>46309.6826967593</v>
      </c>
      <c r="B213" t="s">
        <v>1172</v>
      </c>
      <c r="C213" t="s">
        <v>1176</v>
      </c>
      <c r="D213" t="s">
        <v>1177</v>
      </c>
    </row>
    <row r="214" spans="1:4">
      <c r="A214" s="4">
        <v>46309.6827083333</v>
      </c>
      <c r="B214" t="s">
        <v>927</v>
      </c>
      <c r="C214" t="s">
        <v>1173</v>
      </c>
      <c r="D214" t="s">
        <v>1221</v>
      </c>
    </row>
    <row r="215" spans="1:4">
      <c r="A215" s="4">
        <v>46309.6830787037</v>
      </c>
      <c r="B215" t="s">
        <v>1191</v>
      </c>
      <c r="C215" t="s">
        <v>1176</v>
      </c>
      <c r="D215" t="s">
        <v>1209</v>
      </c>
    </row>
    <row r="216" spans="1:4">
      <c r="A216" s="4">
        <v>46309.6831365741</v>
      </c>
      <c r="B216" t="s">
        <v>927</v>
      </c>
      <c r="C216" t="s">
        <v>1176</v>
      </c>
      <c r="D216" t="s">
        <v>1193</v>
      </c>
    </row>
    <row r="217" spans="1:4">
      <c r="A217" s="4">
        <v>46309.6842476852</v>
      </c>
      <c r="B217" t="s">
        <v>1172</v>
      </c>
      <c r="C217" t="s">
        <v>1176</v>
      </c>
      <c r="D217" t="s">
        <v>1177</v>
      </c>
    </row>
    <row r="218" spans="1:4">
      <c r="A218" s="4">
        <v>46309.6842708333</v>
      </c>
      <c r="B218" t="s">
        <v>1191</v>
      </c>
      <c r="C218" t="s">
        <v>1176</v>
      </c>
      <c r="D218" t="s">
        <v>1209</v>
      </c>
    </row>
    <row r="219" spans="1:4">
      <c r="A219" s="4">
        <v>46309.6858564815</v>
      </c>
      <c r="B219" t="s">
        <v>1172</v>
      </c>
      <c r="C219" t="s">
        <v>1176</v>
      </c>
      <c r="D219" t="s">
        <v>1177</v>
      </c>
    </row>
    <row r="220" spans="1:4">
      <c r="A220" s="4">
        <v>46309.6858680556</v>
      </c>
      <c r="B220" t="s">
        <v>927</v>
      </c>
      <c r="C220" t="s">
        <v>1176</v>
      </c>
      <c r="D220" t="s">
        <v>1193</v>
      </c>
    </row>
    <row r="221" spans="1:4">
      <c r="A221" s="4">
        <v>46309.687337963</v>
      </c>
      <c r="B221" t="s">
        <v>927</v>
      </c>
      <c r="C221" t="s">
        <v>1173</v>
      </c>
      <c r="D221" t="s">
        <v>1222</v>
      </c>
    </row>
    <row r="222" spans="1:4">
      <c r="A222" s="4">
        <v>46309.7133564815</v>
      </c>
      <c r="B222" t="s">
        <v>1172</v>
      </c>
      <c r="C222" t="s">
        <v>1176</v>
      </c>
      <c r="D222" t="s">
        <v>1177</v>
      </c>
    </row>
    <row r="223" spans="1:4">
      <c r="A223" s="4">
        <v>46309.7133796296</v>
      </c>
      <c r="B223" t="s">
        <v>1223</v>
      </c>
      <c r="C223" t="s">
        <v>1173</v>
      </c>
      <c r="D223" t="s">
        <v>1196</v>
      </c>
    </row>
    <row r="224" spans="1:4">
      <c r="A224" s="4">
        <v>46309.7173611111</v>
      </c>
      <c r="B224" t="s">
        <v>1172</v>
      </c>
      <c r="C224" t="s">
        <v>1176</v>
      </c>
      <c r="D224" t="s">
        <v>1177</v>
      </c>
    </row>
    <row r="225" spans="1:4">
      <c r="A225" s="4">
        <v>46309.7173842593</v>
      </c>
      <c r="B225" t="s">
        <v>1191</v>
      </c>
      <c r="C225" t="s">
        <v>1176</v>
      </c>
      <c r="D225" t="s">
        <v>1209</v>
      </c>
    </row>
    <row r="226" spans="1:4">
      <c r="A226" s="4">
        <v>46309.7175578704</v>
      </c>
      <c r="B226" t="s">
        <v>1172</v>
      </c>
      <c r="C226" t="s">
        <v>1176</v>
      </c>
      <c r="D226" t="s">
        <v>1177</v>
      </c>
    </row>
    <row r="227" spans="1:4">
      <c r="A227" s="4">
        <v>46309.7175810185</v>
      </c>
      <c r="B227" t="s">
        <v>1191</v>
      </c>
      <c r="C227" t="s">
        <v>1176</v>
      </c>
      <c r="D227" t="s">
        <v>1209</v>
      </c>
    </row>
    <row r="228" spans="1:4">
      <c r="A228" s="4">
        <v>46309.7186805556</v>
      </c>
      <c r="B228" t="s">
        <v>1172</v>
      </c>
      <c r="C228" t="s">
        <v>1176</v>
      </c>
      <c r="D228" t="s">
        <v>1177</v>
      </c>
    </row>
    <row r="229" spans="1:4">
      <c r="A229" s="4">
        <v>46309.7186921296</v>
      </c>
      <c r="B229" t="s">
        <v>927</v>
      </c>
      <c r="C229" t="s">
        <v>1173</v>
      </c>
      <c r="D229" t="s">
        <v>1224</v>
      </c>
    </row>
    <row r="230" spans="1:4">
      <c r="A230" s="4">
        <v>46309.7190972222</v>
      </c>
      <c r="B230" t="s">
        <v>1191</v>
      </c>
      <c r="C230" t="s">
        <v>1176</v>
      </c>
      <c r="D230" t="s">
        <v>1209</v>
      </c>
    </row>
    <row r="231" spans="1:4">
      <c r="A231" s="4">
        <v>46309.7191898148</v>
      </c>
      <c r="B231" t="s">
        <v>1191</v>
      </c>
      <c r="C231" t="s">
        <v>1176</v>
      </c>
      <c r="D231" t="s">
        <v>1209</v>
      </c>
    </row>
    <row r="232" spans="1:4">
      <c r="A232" s="4">
        <v>46309.7194212963</v>
      </c>
      <c r="B232" t="s">
        <v>927</v>
      </c>
      <c r="C232" t="s">
        <v>1173</v>
      </c>
      <c r="D232" t="s">
        <v>1225</v>
      </c>
    </row>
    <row r="233" spans="1:4">
      <c r="A233" s="4">
        <v>46309.7196180556</v>
      </c>
      <c r="B233" t="s">
        <v>927</v>
      </c>
      <c r="C233" t="s">
        <v>1173</v>
      </c>
      <c r="D233" t="s">
        <v>1226</v>
      </c>
    </row>
    <row r="234" spans="1:4">
      <c r="A234" s="4">
        <v>46309.7197685185</v>
      </c>
      <c r="B234" t="s">
        <v>927</v>
      </c>
      <c r="C234" t="s">
        <v>1173</v>
      </c>
      <c r="D234" t="s">
        <v>1226</v>
      </c>
    </row>
    <row r="235" spans="1:4">
      <c r="A235" s="4">
        <v>46309.7198842593</v>
      </c>
      <c r="B235" t="s">
        <v>927</v>
      </c>
      <c r="C235" t="s">
        <v>1176</v>
      </c>
      <c r="D235" t="s">
        <v>1193</v>
      </c>
    </row>
    <row r="236" spans="1:4">
      <c r="A236" s="4">
        <v>46309.7206597222</v>
      </c>
      <c r="B236" t="s">
        <v>927</v>
      </c>
      <c r="C236" t="s">
        <v>1176</v>
      </c>
      <c r="D236" t="s">
        <v>1193</v>
      </c>
    </row>
    <row r="237" spans="1:4">
      <c r="A237" s="4">
        <v>46309.7255439815</v>
      </c>
      <c r="B237" t="s">
        <v>1172</v>
      </c>
      <c r="C237" t="s">
        <v>1176</v>
      </c>
      <c r="D237" t="s">
        <v>1177</v>
      </c>
    </row>
    <row r="238" spans="1:4">
      <c r="A238" s="4">
        <v>46309.7255787037</v>
      </c>
      <c r="B238" t="s">
        <v>1223</v>
      </c>
      <c r="C238" t="s">
        <v>1173</v>
      </c>
      <c r="D238" t="s">
        <v>1227</v>
      </c>
    </row>
    <row r="239" spans="1:4">
      <c r="A239" s="4">
        <v>46309.7256712963</v>
      </c>
      <c r="B239" t="s">
        <v>1223</v>
      </c>
      <c r="C239" t="s">
        <v>1173</v>
      </c>
      <c r="D239" t="s">
        <v>1196</v>
      </c>
    </row>
    <row r="240" spans="1:4">
      <c r="A240" s="4">
        <v>46309.725787037</v>
      </c>
      <c r="B240" t="s">
        <v>1223</v>
      </c>
      <c r="C240" t="s">
        <v>1173</v>
      </c>
      <c r="D240" t="s">
        <v>1196</v>
      </c>
    </row>
    <row r="241" spans="1:4">
      <c r="A241" s="4">
        <v>46310.4512731481</v>
      </c>
      <c r="B241" t="s">
        <v>1172</v>
      </c>
      <c r="C241" t="s">
        <v>1176</v>
      </c>
      <c r="D241" t="s">
        <v>1177</v>
      </c>
    </row>
    <row r="242" spans="1:4">
      <c r="A242" s="4">
        <v>46310.4512962963</v>
      </c>
      <c r="B242" t="s">
        <v>1186</v>
      </c>
      <c r="C242" t="s">
        <v>1176</v>
      </c>
      <c r="D242" t="s">
        <v>1198</v>
      </c>
    </row>
    <row r="243" spans="1:4">
      <c r="A243" s="4">
        <v>46310.4549537037</v>
      </c>
      <c r="B243" t="s">
        <v>1186</v>
      </c>
      <c r="C243" t="s">
        <v>1176</v>
      </c>
      <c r="D243" t="s">
        <v>1198</v>
      </c>
    </row>
    <row r="244" spans="1:4">
      <c r="A244" s="4">
        <v>46310.4552546296</v>
      </c>
      <c r="B244" t="s">
        <v>1186</v>
      </c>
      <c r="C244" t="s">
        <v>1176</v>
      </c>
      <c r="D244" t="s">
        <v>1198</v>
      </c>
    </row>
    <row r="245" spans="1:4">
      <c r="A245" s="4">
        <v>46310.465150463</v>
      </c>
      <c r="B245" t="s">
        <v>1172</v>
      </c>
      <c r="C245" t="s">
        <v>1176</v>
      </c>
      <c r="D245" t="s">
        <v>1177</v>
      </c>
    </row>
    <row r="246" spans="1:4">
      <c r="A246" s="4">
        <v>46310.4651736111</v>
      </c>
      <c r="B246" t="s">
        <v>1191</v>
      </c>
      <c r="C246" t="s">
        <v>1176</v>
      </c>
      <c r="D246" t="s">
        <v>1209</v>
      </c>
    </row>
    <row r="247" spans="1:4">
      <c r="A247" s="4">
        <v>46310.4667824074</v>
      </c>
      <c r="B247" t="s">
        <v>1172</v>
      </c>
      <c r="C247" t="s">
        <v>1176</v>
      </c>
      <c r="D247" t="s">
        <v>1177</v>
      </c>
    </row>
    <row r="248" spans="1:4">
      <c r="A248" s="4">
        <v>46310.4667939815</v>
      </c>
      <c r="B248" t="s">
        <v>927</v>
      </c>
      <c r="C248" t="s">
        <v>1176</v>
      </c>
      <c r="D248" t="s">
        <v>1193</v>
      </c>
    </row>
    <row r="249" spans="1:4">
      <c r="A249" s="4">
        <v>46310.4827430556</v>
      </c>
      <c r="B249" t="s">
        <v>1172</v>
      </c>
      <c r="C249" t="s">
        <v>1176</v>
      </c>
      <c r="D249" t="s">
        <v>1177</v>
      </c>
    </row>
    <row r="250" spans="1:4">
      <c r="A250" s="4">
        <v>46310.4827546296</v>
      </c>
      <c r="B250" t="s">
        <v>927</v>
      </c>
      <c r="C250" t="s">
        <v>1173</v>
      </c>
      <c r="D250" t="s">
        <v>1228</v>
      </c>
    </row>
    <row r="251" spans="1:4">
      <c r="A251" s="4">
        <v>46310.4841203704</v>
      </c>
      <c r="B251" t="s">
        <v>1172</v>
      </c>
      <c r="C251" t="s">
        <v>1176</v>
      </c>
      <c r="D251" t="s">
        <v>1177</v>
      </c>
    </row>
    <row r="252" spans="1:4">
      <c r="A252" s="4">
        <v>46310.4841435185</v>
      </c>
      <c r="B252" t="s">
        <v>1191</v>
      </c>
      <c r="C252" t="s">
        <v>1176</v>
      </c>
      <c r="D252" t="s">
        <v>1209</v>
      </c>
    </row>
    <row r="253" spans="1:4">
      <c r="A253" s="4">
        <v>46310.4841898148</v>
      </c>
      <c r="B253" t="s">
        <v>1172</v>
      </c>
      <c r="C253" t="s">
        <v>1176</v>
      </c>
      <c r="D253" t="s">
        <v>1177</v>
      </c>
    </row>
    <row r="254" spans="1:4">
      <c r="A254" s="4">
        <v>46310.4842013889</v>
      </c>
      <c r="B254" t="s">
        <v>927</v>
      </c>
      <c r="C254" t="s">
        <v>1173</v>
      </c>
      <c r="D254" t="s">
        <v>1229</v>
      </c>
    </row>
    <row r="255" spans="1:4">
      <c r="A255" s="4">
        <v>46310.4843634259</v>
      </c>
      <c r="B255" t="s">
        <v>927</v>
      </c>
      <c r="C255" t="s">
        <v>1176</v>
      </c>
      <c r="D255" t="s">
        <v>1193</v>
      </c>
    </row>
    <row r="256" spans="1:4">
      <c r="A256" s="4">
        <v>46311.6338194444</v>
      </c>
      <c r="B256" t="s">
        <v>1172</v>
      </c>
      <c r="C256" t="s">
        <v>1176</v>
      </c>
      <c r="D256" t="s">
        <v>1177</v>
      </c>
    </row>
    <row r="257" spans="1:4">
      <c r="A257" s="4">
        <v>46311.6338310185</v>
      </c>
      <c r="B257" t="s">
        <v>1186</v>
      </c>
      <c r="C257" t="s">
        <v>1176</v>
      </c>
      <c r="D257" t="s">
        <v>1198</v>
      </c>
    </row>
    <row r="258" spans="1:4">
      <c r="A258" s="4">
        <v>46311.6358449074</v>
      </c>
      <c r="B258" t="s">
        <v>1172</v>
      </c>
      <c r="C258" t="s">
        <v>1176</v>
      </c>
      <c r="D258" t="s">
        <v>1177</v>
      </c>
    </row>
    <row r="259" spans="1:4">
      <c r="A259" s="4">
        <v>46311.6358564815</v>
      </c>
      <c r="B259" t="s">
        <v>927</v>
      </c>
      <c r="C259" t="s">
        <v>1176</v>
      </c>
      <c r="D259" t="s">
        <v>1193</v>
      </c>
    </row>
    <row r="260" spans="1:4">
      <c r="A260" s="4">
        <v>46311.6386111111</v>
      </c>
      <c r="B260" t="s">
        <v>1172</v>
      </c>
      <c r="C260" t="s">
        <v>1176</v>
      </c>
      <c r="D260" t="s">
        <v>1177</v>
      </c>
    </row>
    <row r="261" spans="1:4">
      <c r="A261" s="4">
        <v>46311.6386226852</v>
      </c>
      <c r="B261" t="s">
        <v>927</v>
      </c>
      <c r="C261" t="s">
        <v>1176</v>
      </c>
      <c r="D261" t="s">
        <v>1193</v>
      </c>
    </row>
    <row r="262" spans="1:4">
      <c r="A262" s="4">
        <v>46311.6468865741</v>
      </c>
      <c r="B262" t="s">
        <v>927</v>
      </c>
      <c r="C262" t="s">
        <v>1176</v>
      </c>
      <c r="D262" t="s">
        <v>1193</v>
      </c>
    </row>
    <row r="263" spans="1:4">
      <c r="A263" s="4">
        <v>46311.6571643519</v>
      </c>
      <c r="B263" t="s">
        <v>927</v>
      </c>
      <c r="C263" t="s">
        <v>1176</v>
      </c>
      <c r="D263" t="s">
        <v>1193</v>
      </c>
    </row>
    <row r="264" spans="1:4">
      <c r="A264" s="4">
        <v>46315.4342361111</v>
      </c>
      <c r="B264" t="s">
        <v>1172</v>
      </c>
      <c r="C264" t="s">
        <v>1176</v>
      </c>
      <c r="D264" t="s">
        <v>1177</v>
      </c>
    </row>
    <row r="265" spans="1:4">
      <c r="A265" s="4">
        <v>46315.4342476852</v>
      </c>
      <c r="B265" t="s">
        <v>927</v>
      </c>
      <c r="C265" t="s">
        <v>1173</v>
      </c>
      <c r="D265" t="s">
        <v>1230</v>
      </c>
    </row>
    <row r="266" spans="1:4">
      <c r="A266" s="4">
        <v>46315.4343981482</v>
      </c>
      <c r="B266" t="s">
        <v>927</v>
      </c>
      <c r="C266" t="s">
        <v>1176</v>
      </c>
      <c r="D266" t="s">
        <v>1193</v>
      </c>
    </row>
  </sheetData>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G304"/>
  <sheetViews>
    <sheetView topLeftCell="A7" workbookViewId="0">
      <selection activeCell="A1" sqref="A1"/>
    </sheetView>
  </sheetViews>
  <sheetFormatPr defaultColWidth="9" defaultRowHeight="13.5" outlineLevelCol="6"/>
  <sheetData>
    <row r="1" spans="1:7">
      <c r="A1" s="1" t="s">
        <v>1231</v>
      </c>
      <c r="B1" s="1" t="s">
        <v>1232</v>
      </c>
      <c r="C1" s="1" t="s">
        <v>1233</v>
      </c>
      <c r="D1" s="1" t="s">
        <v>1234</v>
      </c>
      <c r="E1" s="1" t="s">
        <v>1235</v>
      </c>
      <c r="F1" s="1" t="s">
        <v>1236</v>
      </c>
      <c r="G1" s="1" t="s">
        <v>1237</v>
      </c>
    </row>
    <row r="2" spans="1:7">
      <c r="A2" t="s">
        <v>1186</v>
      </c>
      <c r="B2" t="s">
        <v>1238</v>
      </c>
      <c r="C2" t="s">
        <v>24</v>
      </c>
      <c r="D2" t="s">
        <v>1239</v>
      </c>
      <c r="E2" t="s">
        <v>1240</v>
      </c>
      <c r="G2" t="s">
        <v>1241</v>
      </c>
    </row>
    <row r="3" spans="1:7">
      <c r="A3" t="s">
        <v>1186</v>
      </c>
      <c r="B3" t="s">
        <v>1238</v>
      </c>
      <c r="C3" t="s">
        <v>26</v>
      </c>
      <c r="D3" t="s">
        <v>1242</v>
      </c>
      <c r="E3" t="s">
        <v>1240</v>
      </c>
      <c r="G3" t="s">
        <v>1243</v>
      </c>
    </row>
    <row r="4" spans="1:7">
      <c r="A4" t="s">
        <v>1186</v>
      </c>
      <c r="B4" t="s">
        <v>1238</v>
      </c>
      <c r="C4" t="s">
        <v>25</v>
      </c>
      <c r="D4" t="s">
        <v>1244</v>
      </c>
      <c r="E4" t="s">
        <v>1240</v>
      </c>
      <c r="G4" t="s">
        <v>1245</v>
      </c>
    </row>
    <row r="5" spans="1:7">
      <c r="A5" t="s">
        <v>1186</v>
      </c>
      <c r="B5" t="s">
        <v>1238</v>
      </c>
      <c r="C5" t="s">
        <v>27</v>
      </c>
      <c r="D5" t="s">
        <v>1246</v>
      </c>
      <c r="E5" t="s">
        <v>1247</v>
      </c>
      <c r="G5" t="s">
        <v>1248</v>
      </c>
    </row>
    <row r="6" spans="1:7">
      <c r="A6" t="s">
        <v>1186</v>
      </c>
      <c r="B6" t="s">
        <v>1238</v>
      </c>
      <c r="C6" t="s">
        <v>28</v>
      </c>
      <c r="D6" t="s">
        <v>1249</v>
      </c>
      <c r="E6" t="s">
        <v>1247</v>
      </c>
    </row>
    <row r="7" spans="1:7">
      <c r="A7" t="s">
        <v>1186</v>
      </c>
      <c r="B7" t="s">
        <v>1238</v>
      </c>
      <c r="C7" t="s">
        <v>29</v>
      </c>
      <c r="D7" t="s">
        <v>1250</v>
      </c>
      <c r="E7" t="s">
        <v>1247</v>
      </c>
    </row>
    <row r="8" spans="1:7">
      <c r="A8" t="s">
        <v>1186</v>
      </c>
      <c r="B8" t="s">
        <v>1238</v>
      </c>
      <c r="C8" t="s">
        <v>30</v>
      </c>
      <c r="D8" t="s">
        <v>1251</v>
      </c>
      <c r="E8" t="s">
        <v>1247</v>
      </c>
    </row>
    <row r="9" spans="1:7">
      <c r="A9" t="s">
        <v>1186</v>
      </c>
      <c r="B9" t="s">
        <v>1238</v>
      </c>
      <c r="C9" t="s">
        <v>31</v>
      </c>
      <c r="D9" t="s">
        <v>1252</v>
      </c>
      <c r="E9" t="s">
        <v>1247</v>
      </c>
    </row>
    <row r="10" spans="1:7">
      <c r="A10" t="s">
        <v>1186</v>
      </c>
      <c r="B10" t="s">
        <v>1238</v>
      </c>
      <c r="C10" t="s">
        <v>32</v>
      </c>
      <c r="D10" t="s">
        <v>1253</v>
      </c>
      <c r="E10" t="s">
        <v>1247</v>
      </c>
    </row>
    <row r="11" spans="1:7">
      <c r="A11" t="s">
        <v>1186</v>
      </c>
      <c r="B11" t="s">
        <v>1238</v>
      </c>
      <c r="C11" t="s">
        <v>33</v>
      </c>
      <c r="D11" t="s">
        <v>1254</v>
      </c>
      <c r="E11" t="s">
        <v>1247</v>
      </c>
    </row>
    <row r="12" spans="1:7">
      <c r="A12" t="s">
        <v>1186</v>
      </c>
      <c r="B12" t="s">
        <v>1238</v>
      </c>
      <c r="C12" t="s">
        <v>34</v>
      </c>
      <c r="D12" t="s">
        <v>1255</v>
      </c>
      <c r="E12" t="s">
        <v>1247</v>
      </c>
      <c r="G12" t="s">
        <v>1256</v>
      </c>
    </row>
    <row r="13" spans="1:7">
      <c r="A13" t="s">
        <v>1186</v>
      </c>
      <c r="B13" t="s">
        <v>1238</v>
      </c>
      <c r="C13" t="s">
        <v>35</v>
      </c>
      <c r="D13" t="s">
        <v>1257</v>
      </c>
      <c r="E13" t="s">
        <v>1247</v>
      </c>
    </row>
    <row r="14" spans="1:7">
      <c r="A14" t="s">
        <v>1186</v>
      </c>
      <c r="B14" t="s">
        <v>1238</v>
      </c>
      <c r="C14" t="s">
        <v>36</v>
      </c>
      <c r="D14" t="s">
        <v>1258</v>
      </c>
      <c r="E14" t="s">
        <v>1247</v>
      </c>
    </row>
    <row r="15" spans="1:7">
      <c r="A15" t="s">
        <v>1186</v>
      </c>
      <c r="B15" t="s">
        <v>1238</v>
      </c>
      <c r="C15" t="s">
        <v>37</v>
      </c>
      <c r="D15" t="s">
        <v>1259</v>
      </c>
      <c r="E15" t="s">
        <v>1247</v>
      </c>
    </row>
    <row r="16" spans="1:7">
      <c r="A16" t="s">
        <v>1186</v>
      </c>
      <c r="B16" t="s">
        <v>1238</v>
      </c>
      <c r="C16" t="s">
        <v>38</v>
      </c>
      <c r="D16" t="s">
        <v>1260</v>
      </c>
      <c r="E16" t="s">
        <v>1247</v>
      </c>
    </row>
    <row r="17" spans="1:7">
      <c r="A17" t="s">
        <v>1186</v>
      </c>
      <c r="B17" t="s">
        <v>1238</v>
      </c>
      <c r="C17" t="s">
        <v>39</v>
      </c>
      <c r="D17" t="s">
        <v>1261</v>
      </c>
      <c r="E17" t="s">
        <v>1247</v>
      </c>
    </row>
    <row r="18" spans="1:7">
      <c r="A18" t="s">
        <v>1186</v>
      </c>
      <c r="B18" t="s">
        <v>1238</v>
      </c>
      <c r="C18" t="s">
        <v>40</v>
      </c>
      <c r="D18" t="s">
        <v>1262</v>
      </c>
      <c r="E18" t="s">
        <v>1247</v>
      </c>
    </row>
    <row r="19" spans="1:7">
      <c r="A19" t="s">
        <v>1186</v>
      </c>
      <c r="B19" t="s">
        <v>1238</v>
      </c>
      <c r="C19" t="s">
        <v>41</v>
      </c>
      <c r="D19" t="s">
        <v>1263</v>
      </c>
      <c r="E19" t="s">
        <v>1247</v>
      </c>
    </row>
    <row r="20" spans="1:7">
      <c r="A20" t="s">
        <v>1186</v>
      </c>
      <c r="B20" t="s">
        <v>1238</v>
      </c>
      <c r="C20" t="s">
        <v>42</v>
      </c>
      <c r="D20" t="s">
        <v>1264</v>
      </c>
      <c r="E20" t="s">
        <v>1247</v>
      </c>
    </row>
    <row r="21" spans="1:7">
      <c r="A21" t="s">
        <v>1186</v>
      </c>
      <c r="B21" t="s">
        <v>1238</v>
      </c>
      <c r="C21" t="s">
        <v>43</v>
      </c>
      <c r="D21" t="s">
        <v>1265</v>
      </c>
      <c r="E21" t="s">
        <v>1247</v>
      </c>
      <c r="G21" t="s">
        <v>1266</v>
      </c>
    </row>
    <row r="22" spans="1:7">
      <c r="A22" t="s">
        <v>1186</v>
      </c>
      <c r="B22" t="s">
        <v>1238</v>
      </c>
      <c r="C22" t="s">
        <v>44</v>
      </c>
      <c r="D22" t="s">
        <v>1267</v>
      </c>
      <c r="E22" t="s">
        <v>1247</v>
      </c>
    </row>
    <row r="23" spans="1:7">
      <c r="A23" t="s">
        <v>1186</v>
      </c>
      <c r="B23" t="s">
        <v>1238</v>
      </c>
      <c r="C23" t="s">
        <v>45</v>
      </c>
      <c r="D23" t="s">
        <v>1268</v>
      </c>
      <c r="E23" t="s">
        <v>1247</v>
      </c>
    </row>
    <row r="24" spans="1:7">
      <c r="A24" t="s">
        <v>1186</v>
      </c>
      <c r="B24" t="s">
        <v>1238</v>
      </c>
      <c r="C24" t="s">
        <v>46</v>
      </c>
      <c r="D24" t="s">
        <v>1269</v>
      </c>
      <c r="E24" t="s">
        <v>1247</v>
      </c>
    </row>
    <row r="25" spans="1:7">
      <c r="A25" t="s">
        <v>1186</v>
      </c>
      <c r="B25" t="s">
        <v>1238</v>
      </c>
      <c r="C25" t="s">
        <v>47</v>
      </c>
      <c r="D25" t="s">
        <v>1270</v>
      </c>
      <c r="E25" t="s">
        <v>1247</v>
      </c>
    </row>
    <row r="26" spans="1:7">
      <c r="A26" t="s">
        <v>1187</v>
      </c>
      <c r="B26" t="s">
        <v>1238</v>
      </c>
      <c r="C26" t="s">
        <v>1069</v>
      </c>
      <c r="D26" t="s">
        <v>1271</v>
      </c>
      <c r="E26" t="s">
        <v>1240</v>
      </c>
    </row>
    <row r="27" spans="1:7">
      <c r="A27" t="s">
        <v>1187</v>
      </c>
      <c r="B27" t="s">
        <v>1238</v>
      </c>
      <c r="C27" t="s">
        <v>1152</v>
      </c>
      <c r="D27" t="s">
        <v>1244</v>
      </c>
      <c r="E27" t="s">
        <v>1240</v>
      </c>
    </row>
    <row r="28" spans="1:7">
      <c r="A28" t="s">
        <v>1187</v>
      </c>
      <c r="B28" t="s">
        <v>1238</v>
      </c>
      <c r="C28" t="s">
        <v>1153</v>
      </c>
      <c r="D28" t="s">
        <v>1272</v>
      </c>
      <c r="E28" t="s">
        <v>1247</v>
      </c>
    </row>
    <row r="29" spans="1:7">
      <c r="A29" t="s">
        <v>1187</v>
      </c>
      <c r="B29" t="s">
        <v>1238</v>
      </c>
      <c r="C29" t="s">
        <v>1154</v>
      </c>
      <c r="D29" t="s">
        <v>1273</v>
      </c>
      <c r="E29" t="s">
        <v>1247</v>
      </c>
    </row>
    <row r="30" spans="1:7">
      <c r="A30" t="s">
        <v>1187</v>
      </c>
      <c r="B30" t="s">
        <v>1238</v>
      </c>
      <c r="C30" t="s">
        <v>1155</v>
      </c>
      <c r="D30" t="s">
        <v>1274</v>
      </c>
      <c r="E30" t="s">
        <v>1247</v>
      </c>
    </row>
    <row r="31" spans="1:7">
      <c r="A31" t="s">
        <v>1187</v>
      </c>
      <c r="B31" t="s">
        <v>1238</v>
      </c>
      <c r="C31" t="s">
        <v>1156</v>
      </c>
      <c r="D31" t="s">
        <v>1275</v>
      </c>
      <c r="E31" t="s">
        <v>1247</v>
      </c>
    </row>
    <row r="32" spans="1:7">
      <c r="A32" t="s">
        <v>1187</v>
      </c>
      <c r="B32" t="s">
        <v>1238</v>
      </c>
      <c r="C32" t="s">
        <v>1072</v>
      </c>
      <c r="D32" t="s">
        <v>1276</v>
      </c>
      <c r="E32" t="s">
        <v>1247</v>
      </c>
    </row>
    <row r="33" spans="1:7">
      <c r="A33" t="s">
        <v>1187</v>
      </c>
      <c r="B33" t="s">
        <v>1238</v>
      </c>
      <c r="C33" t="s">
        <v>1073</v>
      </c>
      <c r="D33" t="s">
        <v>1277</v>
      </c>
      <c r="E33" t="s">
        <v>1247</v>
      </c>
    </row>
    <row r="34" spans="1:7">
      <c r="A34" t="s">
        <v>1187</v>
      </c>
      <c r="B34" t="s">
        <v>1238</v>
      </c>
      <c r="C34" t="s">
        <v>46</v>
      </c>
      <c r="D34" t="s">
        <v>1269</v>
      </c>
      <c r="E34" t="s">
        <v>1247</v>
      </c>
    </row>
    <row r="35" spans="1:7">
      <c r="A35" t="s">
        <v>1187</v>
      </c>
      <c r="B35" t="s">
        <v>1238</v>
      </c>
      <c r="C35" t="s">
        <v>47</v>
      </c>
      <c r="D35" t="s">
        <v>1270</v>
      </c>
      <c r="E35" t="s">
        <v>1247</v>
      </c>
    </row>
    <row r="36" spans="1:7">
      <c r="A36" t="s">
        <v>927</v>
      </c>
      <c r="B36" t="s">
        <v>1066</v>
      </c>
      <c r="C36" t="s">
        <v>1027</v>
      </c>
      <c r="D36" t="s">
        <v>1278</v>
      </c>
      <c r="E36" t="s">
        <v>1240</v>
      </c>
    </row>
    <row r="37" spans="1:7">
      <c r="A37" t="s">
        <v>927</v>
      </c>
      <c r="B37" t="s">
        <v>1066</v>
      </c>
      <c r="C37" t="s">
        <v>1067</v>
      </c>
      <c r="D37" t="s">
        <v>1244</v>
      </c>
      <c r="E37" t="s">
        <v>1247</v>
      </c>
    </row>
    <row r="38" spans="1:7">
      <c r="A38" t="s">
        <v>927</v>
      </c>
      <c r="B38" t="s">
        <v>1066</v>
      </c>
      <c r="C38" t="s">
        <v>913</v>
      </c>
      <c r="D38" t="s">
        <v>1279</v>
      </c>
      <c r="E38" t="s">
        <v>1247</v>
      </c>
    </row>
    <row r="39" spans="1:7">
      <c r="A39" t="s">
        <v>927</v>
      </c>
      <c r="B39" t="s">
        <v>1066</v>
      </c>
      <c r="C39" t="s">
        <v>48</v>
      </c>
      <c r="D39" t="s">
        <v>1280</v>
      </c>
      <c r="E39" t="s">
        <v>1281</v>
      </c>
      <c r="G39" t="s">
        <v>1282</v>
      </c>
    </row>
    <row r="40" spans="1:7">
      <c r="A40" t="s">
        <v>927</v>
      </c>
      <c r="B40" t="s">
        <v>1066</v>
      </c>
      <c r="C40" t="s">
        <v>914</v>
      </c>
      <c r="D40" t="s">
        <v>1283</v>
      </c>
      <c r="E40" t="s">
        <v>1281</v>
      </c>
      <c r="G40" t="s">
        <v>1284</v>
      </c>
    </row>
    <row r="41" spans="1:7">
      <c r="A41" t="s">
        <v>927</v>
      </c>
      <c r="B41" t="s">
        <v>1066</v>
      </c>
      <c r="C41" t="s">
        <v>32</v>
      </c>
      <c r="D41" t="s">
        <v>1285</v>
      </c>
      <c r="E41" t="s">
        <v>1247</v>
      </c>
      <c r="G41" t="s">
        <v>1286</v>
      </c>
    </row>
    <row r="42" spans="1:7">
      <c r="A42" t="s">
        <v>927</v>
      </c>
      <c r="B42" t="s">
        <v>1066</v>
      </c>
      <c r="C42" t="s">
        <v>1069</v>
      </c>
      <c r="D42" t="s">
        <v>1271</v>
      </c>
      <c r="E42" t="s">
        <v>1247</v>
      </c>
    </row>
    <row r="43" spans="1:7">
      <c r="A43" t="s">
        <v>927</v>
      </c>
      <c r="B43" t="s">
        <v>1066</v>
      </c>
      <c r="C43" t="s">
        <v>1070</v>
      </c>
      <c r="D43" t="s">
        <v>1269</v>
      </c>
      <c r="E43" t="s">
        <v>1247</v>
      </c>
    </row>
    <row r="44" spans="1:7">
      <c r="A44" t="s">
        <v>927</v>
      </c>
      <c r="B44" t="s">
        <v>1066</v>
      </c>
      <c r="C44" t="s">
        <v>1071</v>
      </c>
      <c r="D44" t="s">
        <v>1287</v>
      </c>
      <c r="E44" t="s">
        <v>1247</v>
      </c>
    </row>
    <row r="45" spans="1:7">
      <c r="A45" t="s">
        <v>927</v>
      </c>
      <c r="B45" t="s">
        <v>1066</v>
      </c>
      <c r="C45" t="s">
        <v>1031</v>
      </c>
      <c r="D45" t="s">
        <v>1288</v>
      </c>
      <c r="E45" t="s">
        <v>1247</v>
      </c>
    </row>
    <row r="46" spans="1:7">
      <c r="A46" t="s">
        <v>927</v>
      </c>
      <c r="B46" t="s">
        <v>1066</v>
      </c>
      <c r="C46" t="s">
        <v>915</v>
      </c>
      <c r="D46" t="s">
        <v>1289</v>
      </c>
      <c r="E46" t="s">
        <v>1247</v>
      </c>
    </row>
    <row r="47" spans="1:7">
      <c r="A47" t="s">
        <v>927</v>
      </c>
      <c r="B47" t="s">
        <v>1066</v>
      </c>
      <c r="C47" t="s">
        <v>1072</v>
      </c>
      <c r="D47" t="s">
        <v>1276</v>
      </c>
      <c r="E47" t="s">
        <v>1247</v>
      </c>
    </row>
    <row r="48" spans="1:7">
      <c r="A48" t="s">
        <v>927</v>
      </c>
      <c r="B48" t="s">
        <v>1066</v>
      </c>
      <c r="C48" t="s">
        <v>1073</v>
      </c>
      <c r="D48" t="s">
        <v>1277</v>
      </c>
      <c r="E48" t="s">
        <v>1247</v>
      </c>
    </row>
    <row r="49" spans="1:7">
      <c r="A49" t="s">
        <v>927</v>
      </c>
      <c r="B49" t="s">
        <v>1066</v>
      </c>
      <c r="C49" t="s">
        <v>1068</v>
      </c>
      <c r="D49" t="s">
        <v>1290</v>
      </c>
      <c r="E49" t="s">
        <v>1247</v>
      </c>
    </row>
    <row r="50" spans="1:7">
      <c r="A50" t="s">
        <v>927</v>
      </c>
      <c r="B50" t="s">
        <v>1066</v>
      </c>
      <c r="C50" t="s">
        <v>917</v>
      </c>
      <c r="D50" t="s">
        <v>1291</v>
      </c>
      <c r="E50" t="s">
        <v>1247</v>
      </c>
    </row>
    <row r="51" spans="1:7">
      <c r="A51" t="s">
        <v>927</v>
      </c>
      <c r="B51" t="s">
        <v>1066</v>
      </c>
      <c r="C51" t="s">
        <v>918</v>
      </c>
      <c r="D51" t="s">
        <v>1292</v>
      </c>
      <c r="E51" t="s">
        <v>1247</v>
      </c>
    </row>
    <row r="52" spans="1:7">
      <c r="A52" t="s">
        <v>927</v>
      </c>
      <c r="B52" t="s">
        <v>1066</v>
      </c>
      <c r="C52" t="s">
        <v>919</v>
      </c>
      <c r="D52" t="s">
        <v>1293</v>
      </c>
      <c r="E52" t="s">
        <v>1247</v>
      </c>
    </row>
    <row r="53" spans="1:7">
      <c r="A53" t="s">
        <v>927</v>
      </c>
      <c r="B53" t="s">
        <v>1066</v>
      </c>
      <c r="C53" t="s">
        <v>920</v>
      </c>
      <c r="D53" t="s">
        <v>1294</v>
      </c>
      <c r="E53" t="s">
        <v>1247</v>
      </c>
    </row>
    <row r="54" spans="1:7">
      <c r="A54" t="s">
        <v>927</v>
      </c>
      <c r="B54" t="s">
        <v>1066</v>
      </c>
      <c r="C54" t="s">
        <v>921</v>
      </c>
      <c r="D54" t="s">
        <v>1295</v>
      </c>
      <c r="E54" t="s">
        <v>1247</v>
      </c>
    </row>
    <row r="55" spans="1:7">
      <c r="A55" t="s">
        <v>927</v>
      </c>
      <c r="B55" t="s">
        <v>1066</v>
      </c>
      <c r="C55" t="s">
        <v>922</v>
      </c>
      <c r="D55" t="s">
        <v>1296</v>
      </c>
      <c r="E55" t="s">
        <v>1247</v>
      </c>
      <c r="G55" t="s">
        <v>1095</v>
      </c>
    </row>
    <row r="56" spans="1:7">
      <c r="A56" t="s">
        <v>927</v>
      </c>
      <c r="B56" t="s">
        <v>1066</v>
      </c>
      <c r="C56" t="s">
        <v>923</v>
      </c>
      <c r="D56" t="s">
        <v>1297</v>
      </c>
      <c r="E56" t="s">
        <v>1247</v>
      </c>
    </row>
    <row r="57" spans="1:7">
      <c r="A57" t="s">
        <v>927</v>
      </c>
      <c r="B57" t="s">
        <v>1066</v>
      </c>
      <c r="C57" t="s">
        <v>1074</v>
      </c>
      <c r="D57" t="s">
        <v>1298</v>
      </c>
      <c r="E57" t="s">
        <v>1247</v>
      </c>
    </row>
    <row r="58" spans="1:7">
      <c r="A58" t="s">
        <v>927</v>
      </c>
      <c r="B58" t="s">
        <v>1066</v>
      </c>
      <c r="C58" t="s">
        <v>1075</v>
      </c>
      <c r="D58" t="s">
        <v>1299</v>
      </c>
      <c r="E58" t="s">
        <v>1247</v>
      </c>
    </row>
    <row r="59" spans="1:7">
      <c r="A59" t="s">
        <v>927</v>
      </c>
      <c r="B59" t="s">
        <v>1066</v>
      </c>
      <c r="C59" t="s">
        <v>47</v>
      </c>
      <c r="D59" t="s">
        <v>1270</v>
      </c>
      <c r="E59" t="s">
        <v>1247</v>
      </c>
    </row>
    <row r="60" spans="1:7">
      <c r="A60" t="s">
        <v>927</v>
      </c>
      <c r="B60" t="s">
        <v>1080</v>
      </c>
      <c r="C60" t="s">
        <v>1027</v>
      </c>
      <c r="D60" t="s">
        <v>1278</v>
      </c>
      <c r="E60" t="s">
        <v>1247</v>
      </c>
      <c r="G60" t="s">
        <v>1300</v>
      </c>
    </row>
    <row r="61" spans="1:7">
      <c r="A61" t="s">
        <v>927</v>
      </c>
      <c r="B61" t="s">
        <v>1080</v>
      </c>
      <c r="C61" t="s">
        <v>880</v>
      </c>
      <c r="D61" t="s">
        <v>1301</v>
      </c>
      <c r="E61" t="s">
        <v>1240</v>
      </c>
    </row>
    <row r="62" spans="1:7">
      <c r="A62" t="s">
        <v>927</v>
      </c>
      <c r="B62" t="s">
        <v>1080</v>
      </c>
      <c r="C62" t="s">
        <v>1006</v>
      </c>
      <c r="D62" t="s">
        <v>1302</v>
      </c>
      <c r="E62" t="s">
        <v>1247</v>
      </c>
    </row>
    <row r="63" spans="1:7">
      <c r="A63" t="s">
        <v>927</v>
      </c>
      <c r="B63" t="s">
        <v>1080</v>
      </c>
      <c r="C63" t="s">
        <v>1007</v>
      </c>
      <c r="D63" t="s">
        <v>1303</v>
      </c>
      <c r="E63" t="s">
        <v>1247</v>
      </c>
    </row>
    <row r="64" spans="1:7">
      <c r="A64" t="s">
        <v>927</v>
      </c>
      <c r="B64" t="s">
        <v>1080</v>
      </c>
      <c r="C64" t="s">
        <v>1016</v>
      </c>
      <c r="D64" t="s">
        <v>1304</v>
      </c>
      <c r="E64" t="s">
        <v>1247</v>
      </c>
      <c r="G64" t="s">
        <v>1008</v>
      </c>
    </row>
    <row r="65" spans="1:7">
      <c r="A65" t="s">
        <v>927</v>
      </c>
      <c r="B65" t="s">
        <v>1080</v>
      </c>
      <c r="C65" t="s">
        <v>884</v>
      </c>
      <c r="D65" t="s">
        <v>1305</v>
      </c>
      <c r="E65" t="s">
        <v>1247</v>
      </c>
    </row>
    <row r="66" spans="1:7">
      <c r="A66" t="s">
        <v>927</v>
      </c>
      <c r="B66" t="s">
        <v>1080</v>
      </c>
      <c r="C66" t="s">
        <v>885</v>
      </c>
      <c r="D66" t="s">
        <v>1306</v>
      </c>
      <c r="E66" t="s">
        <v>1240</v>
      </c>
    </row>
    <row r="67" spans="1:7">
      <c r="A67" t="s">
        <v>927</v>
      </c>
      <c r="B67" t="s">
        <v>1080</v>
      </c>
      <c r="C67" t="s">
        <v>1018</v>
      </c>
      <c r="D67" t="s">
        <v>1307</v>
      </c>
      <c r="E67" t="s">
        <v>1240</v>
      </c>
    </row>
    <row r="68" spans="1:7">
      <c r="A68" t="s">
        <v>927</v>
      </c>
      <c r="B68" t="s">
        <v>1080</v>
      </c>
      <c r="C68" t="s">
        <v>47</v>
      </c>
      <c r="D68" t="s">
        <v>1270</v>
      </c>
      <c r="E68" t="s">
        <v>1247</v>
      </c>
      <c r="G68" t="s">
        <v>1308</v>
      </c>
    </row>
    <row r="69" spans="1:7">
      <c r="A69" t="s">
        <v>927</v>
      </c>
      <c r="B69" t="s">
        <v>1080</v>
      </c>
      <c r="C69" t="s">
        <v>879</v>
      </c>
      <c r="D69" t="s">
        <v>1309</v>
      </c>
      <c r="E69" t="s">
        <v>1247</v>
      </c>
    </row>
    <row r="70" spans="1:7">
      <c r="A70" t="s">
        <v>927</v>
      </c>
      <c r="B70" t="s">
        <v>1080</v>
      </c>
      <c r="C70" t="s">
        <v>1010</v>
      </c>
      <c r="D70" t="s">
        <v>1310</v>
      </c>
      <c r="E70" t="s">
        <v>1247</v>
      </c>
    </row>
    <row r="71" spans="1:7">
      <c r="A71" t="s">
        <v>927</v>
      </c>
      <c r="B71" t="s">
        <v>1086</v>
      </c>
      <c r="C71" t="s">
        <v>1027</v>
      </c>
      <c r="D71" t="s">
        <v>1278</v>
      </c>
      <c r="E71" t="s">
        <v>1247</v>
      </c>
      <c r="G71" t="s">
        <v>1300</v>
      </c>
    </row>
    <row r="72" spans="1:7">
      <c r="A72" t="s">
        <v>927</v>
      </c>
      <c r="B72" t="s">
        <v>1086</v>
      </c>
      <c r="C72" t="s">
        <v>1042</v>
      </c>
      <c r="D72" t="s">
        <v>1244</v>
      </c>
      <c r="E72" t="s">
        <v>1240</v>
      </c>
    </row>
    <row r="73" spans="1:7">
      <c r="A73" t="s">
        <v>927</v>
      </c>
      <c r="B73" t="s">
        <v>1086</v>
      </c>
      <c r="C73" t="s">
        <v>1087</v>
      </c>
      <c r="D73" t="s">
        <v>1311</v>
      </c>
      <c r="E73" t="s">
        <v>1247</v>
      </c>
    </row>
    <row r="74" spans="1:7">
      <c r="A74" t="s">
        <v>927</v>
      </c>
      <c r="B74" t="s">
        <v>1086</v>
      </c>
      <c r="C74" t="s">
        <v>1088</v>
      </c>
      <c r="D74" t="s">
        <v>1312</v>
      </c>
      <c r="E74" t="s">
        <v>1247</v>
      </c>
    </row>
    <row r="75" spans="1:7">
      <c r="A75" t="s">
        <v>927</v>
      </c>
      <c r="B75" t="s">
        <v>1086</v>
      </c>
      <c r="C75" t="s">
        <v>1089</v>
      </c>
      <c r="D75" t="s">
        <v>1313</v>
      </c>
      <c r="E75" t="s">
        <v>1247</v>
      </c>
    </row>
    <row r="76" spans="1:7">
      <c r="A76" t="s">
        <v>927</v>
      </c>
      <c r="B76" t="s">
        <v>1086</v>
      </c>
      <c r="C76" t="s">
        <v>47</v>
      </c>
      <c r="D76" t="s">
        <v>1270</v>
      </c>
      <c r="E76" t="s">
        <v>1247</v>
      </c>
      <c r="G76" t="s">
        <v>1314</v>
      </c>
    </row>
    <row r="77" spans="1:7">
      <c r="A77" t="s">
        <v>927</v>
      </c>
      <c r="B77" t="s">
        <v>1086</v>
      </c>
      <c r="C77" t="s">
        <v>1090</v>
      </c>
      <c r="D77" t="s">
        <v>1315</v>
      </c>
      <c r="E77" t="s">
        <v>1247</v>
      </c>
    </row>
    <row r="78" spans="1:7">
      <c r="A78" t="s">
        <v>1316</v>
      </c>
      <c r="B78" t="s">
        <v>1066</v>
      </c>
      <c r="C78" t="s">
        <v>1027</v>
      </c>
      <c r="D78" t="s">
        <v>1278</v>
      </c>
      <c r="E78" t="s">
        <v>1240</v>
      </c>
    </row>
    <row r="79" spans="1:7">
      <c r="A79" t="s">
        <v>1316</v>
      </c>
      <c r="B79" t="s">
        <v>1066</v>
      </c>
      <c r="C79" t="s">
        <v>1067</v>
      </c>
      <c r="D79" t="s">
        <v>1244</v>
      </c>
      <c r="E79" t="s">
        <v>1247</v>
      </c>
    </row>
    <row r="80" spans="1:7">
      <c r="A80" t="s">
        <v>1316</v>
      </c>
      <c r="B80" t="s">
        <v>1066</v>
      </c>
      <c r="C80" t="s">
        <v>913</v>
      </c>
      <c r="D80" t="s">
        <v>1279</v>
      </c>
      <c r="E80" t="s">
        <v>1247</v>
      </c>
    </row>
    <row r="81" spans="1:7">
      <c r="A81" t="s">
        <v>1316</v>
      </c>
      <c r="B81" t="s">
        <v>1066</v>
      </c>
      <c r="C81" t="s">
        <v>778</v>
      </c>
      <c r="D81" t="s">
        <v>1280</v>
      </c>
      <c r="E81" t="s">
        <v>1281</v>
      </c>
      <c r="G81" t="s">
        <v>1317</v>
      </c>
    </row>
    <row r="82" spans="1:7">
      <c r="A82" t="s">
        <v>1316</v>
      </c>
      <c r="B82" t="s">
        <v>1066</v>
      </c>
      <c r="C82" t="s">
        <v>1094</v>
      </c>
      <c r="D82" t="s">
        <v>1283</v>
      </c>
      <c r="E82" t="s">
        <v>1281</v>
      </c>
      <c r="G82" t="s">
        <v>1284</v>
      </c>
    </row>
    <row r="83" spans="1:7">
      <c r="A83" t="s">
        <v>1316</v>
      </c>
      <c r="B83" t="s">
        <v>1066</v>
      </c>
      <c r="C83" t="s">
        <v>32</v>
      </c>
      <c r="D83" t="s">
        <v>1285</v>
      </c>
      <c r="E83" t="s">
        <v>1247</v>
      </c>
      <c r="G83" t="s">
        <v>1286</v>
      </c>
    </row>
    <row r="84" spans="1:7">
      <c r="A84" t="s">
        <v>1316</v>
      </c>
      <c r="B84" t="s">
        <v>1066</v>
      </c>
      <c r="C84" t="s">
        <v>1069</v>
      </c>
      <c r="D84" t="s">
        <v>1271</v>
      </c>
      <c r="E84" t="s">
        <v>1247</v>
      </c>
    </row>
    <row r="85" spans="1:7">
      <c r="A85" t="s">
        <v>1316</v>
      </c>
      <c r="B85" t="s">
        <v>1066</v>
      </c>
      <c r="C85" t="s">
        <v>1070</v>
      </c>
      <c r="D85" t="s">
        <v>1269</v>
      </c>
      <c r="E85" t="s">
        <v>1247</v>
      </c>
    </row>
    <row r="86" spans="1:7">
      <c r="A86" t="s">
        <v>1316</v>
      </c>
      <c r="B86" t="s">
        <v>1066</v>
      </c>
      <c r="C86" t="s">
        <v>1071</v>
      </c>
      <c r="D86" t="s">
        <v>1287</v>
      </c>
      <c r="E86" t="s">
        <v>1247</v>
      </c>
    </row>
    <row r="87" spans="1:7">
      <c r="A87" t="s">
        <v>1316</v>
      </c>
      <c r="B87" t="s">
        <v>1066</v>
      </c>
      <c r="C87" t="s">
        <v>1031</v>
      </c>
      <c r="D87" t="s">
        <v>1288</v>
      </c>
      <c r="E87" t="s">
        <v>1247</v>
      </c>
    </row>
    <row r="88" spans="1:7">
      <c r="A88" t="s">
        <v>1316</v>
      </c>
      <c r="B88" t="s">
        <v>1066</v>
      </c>
      <c r="C88" t="s">
        <v>915</v>
      </c>
      <c r="D88" t="s">
        <v>1289</v>
      </c>
      <c r="E88" t="s">
        <v>1247</v>
      </c>
    </row>
    <row r="89" spans="1:7">
      <c r="A89" t="s">
        <v>1316</v>
      </c>
      <c r="B89" t="s">
        <v>1066</v>
      </c>
      <c r="C89" t="s">
        <v>1072</v>
      </c>
      <c r="D89" t="s">
        <v>1276</v>
      </c>
      <c r="E89" t="s">
        <v>1247</v>
      </c>
    </row>
    <row r="90" spans="1:7">
      <c r="A90" t="s">
        <v>1316</v>
      </c>
      <c r="B90" t="s">
        <v>1066</v>
      </c>
      <c r="C90" t="s">
        <v>1073</v>
      </c>
      <c r="D90" t="s">
        <v>1277</v>
      </c>
      <c r="E90" t="s">
        <v>1247</v>
      </c>
    </row>
    <row r="91" spans="1:7">
      <c r="A91" t="s">
        <v>1316</v>
      </c>
      <c r="B91" t="s">
        <v>1066</v>
      </c>
      <c r="C91" t="s">
        <v>1075</v>
      </c>
      <c r="D91" t="s">
        <v>1299</v>
      </c>
      <c r="E91" t="s">
        <v>1247</v>
      </c>
    </row>
    <row r="92" spans="1:7">
      <c r="A92" t="s">
        <v>1316</v>
      </c>
      <c r="B92" t="s">
        <v>1066</v>
      </c>
      <c r="C92" t="s">
        <v>1095</v>
      </c>
      <c r="D92" t="s">
        <v>1296</v>
      </c>
      <c r="E92" t="s">
        <v>1247</v>
      </c>
      <c r="G92" t="s">
        <v>922</v>
      </c>
    </row>
    <row r="93" spans="1:7">
      <c r="A93" t="s">
        <v>1316</v>
      </c>
      <c r="B93" t="s">
        <v>1066</v>
      </c>
      <c r="C93" t="s">
        <v>47</v>
      </c>
      <c r="D93" t="s">
        <v>1270</v>
      </c>
      <c r="E93" t="s">
        <v>1247</v>
      </c>
    </row>
    <row r="94" spans="1:7">
      <c r="A94" t="s">
        <v>1316</v>
      </c>
      <c r="B94" t="s">
        <v>1080</v>
      </c>
      <c r="C94" t="s">
        <v>1027</v>
      </c>
      <c r="D94" t="s">
        <v>1278</v>
      </c>
      <c r="E94" t="s">
        <v>1247</v>
      </c>
      <c r="G94" t="s">
        <v>1300</v>
      </c>
    </row>
    <row r="95" spans="1:7">
      <c r="A95" t="s">
        <v>1316</v>
      </c>
      <c r="B95" t="s">
        <v>1080</v>
      </c>
      <c r="C95" t="s">
        <v>880</v>
      </c>
      <c r="D95" t="s">
        <v>1301</v>
      </c>
      <c r="E95" t="s">
        <v>1240</v>
      </c>
    </row>
    <row r="96" spans="1:7">
      <c r="A96" t="s">
        <v>1316</v>
      </c>
      <c r="B96" t="s">
        <v>1080</v>
      </c>
      <c r="C96" t="s">
        <v>1006</v>
      </c>
      <c r="D96" t="s">
        <v>1302</v>
      </c>
      <c r="E96" t="s">
        <v>1247</v>
      </c>
    </row>
    <row r="97" spans="1:7">
      <c r="A97" t="s">
        <v>1316</v>
      </c>
      <c r="B97" t="s">
        <v>1080</v>
      </c>
      <c r="C97" t="s">
        <v>1007</v>
      </c>
      <c r="D97" t="s">
        <v>1303</v>
      </c>
      <c r="E97" t="s">
        <v>1247</v>
      </c>
    </row>
    <row r="98" spans="1:7">
      <c r="A98" t="s">
        <v>1316</v>
      </c>
      <c r="B98" t="s">
        <v>1080</v>
      </c>
      <c r="C98" t="s">
        <v>1016</v>
      </c>
      <c r="D98" t="s">
        <v>1304</v>
      </c>
      <c r="E98" t="s">
        <v>1247</v>
      </c>
      <c r="G98" t="s">
        <v>1008</v>
      </c>
    </row>
    <row r="99" spans="1:7">
      <c r="A99" t="s">
        <v>1316</v>
      </c>
      <c r="B99" t="s">
        <v>1080</v>
      </c>
      <c r="C99" t="s">
        <v>884</v>
      </c>
      <c r="D99" t="s">
        <v>1305</v>
      </c>
      <c r="E99" t="s">
        <v>1247</v>
      </c>
    </row>
    <row r="100" spans="1:7">
      <c r="A100" t="s">
        <v>1316</v>
      </c>
      <c r="B100" t="s">
        <v>1080</v>
      </c>
      <c r="C100" t="s">
        <v>885</v>
      </c>
      <c r="D100" t="s">
        <v>1306</v>
      </c>
      <c r="E100" t="s">
        <v>1240</v>
      </c>
    </row>
    <row r="101" spans="1:7">
      <c r="A101" t="s">
        <v>1316</v>
      </c>
      <c r="B101" t="s">
        <v>1080</v>
      </c>
      <c r="C101" t="s">
        <v>1018</v>
      </c>
      <c r="D101" t="s">
        <v>1307</v>
      </c>
      <c r="E101" t="s">
        <v>1240</v>
      </c>
    </row>
    <row r="102" spans="1:7">
      <c r="A102" t="s">
        <v>1316</v>
      </c>
      <c r="B102" t="s">
        <v>1080</v>
      </c>
      <c r="C102" t="s">
        <v>47</v>
      </c>
      <c r="D102" t="s">
        <v>1270</v>
      </c>
      <c r="E102" t="s">
        <v>1247</v>
      </c>
      <c r="G102" t="s">
        <v>1308</v>
      </c>
    </row>
    <row r="103" spans="1:7">
      <c r="A103" t="s">
        <v>1316</v>
      </c>
      <c r="B103" t="s">
        <v>1086</v>
      </c>
      <c r="C103" t="s">
        <v>1027</v>
      </c>
      <c r="D103" t="s">
        <v>1278</v>
      </c>
      <c r="E103" t="s">
        <v>1247</v>
      </c>
      <c r="G103" t="s">
        <v>1300</v>
      </c>
    </row>
    <row r="104" spans="1:7">
      <c r="A104" t="s">
        <v>1316</v>
      </c>
      <c r="B104" t="s">
        <v>1086</v>
      </c>
      <c r="C104" t="s">
        <v>1042</v>
      </c>
      <c r="D104" t="s">
        <v>1244</v>
      </c>
      <c r="E104" t="s">
        <v>1240</v>
      </c>
    </row>
    <row r="105" spans="1:7">
      <c r="A105" t="s">
        <v>1316</v>
      </c>
      <c r="B105" t="s">
        <v>1086</v>
      </c>
      <c r="C105" t="s">
        <v>1087</v>
      </c>
      <c r="D105" t="s">
        <v>1311</v>
      </c>
      <c r="E105" t="s">
        <v>1247</v>
      </c>
    </row>
    <row r="106" spans="1:7">
      <c r="A106" t="s">
        <v>1316</v>
      </c>
      <c r="B106" t="s">
        <v>1086</v>
      </c>
      <c r="C106" t="s">
        <v>1088</v>
      </c>
      <c r="D106" t="s">
        <v>1312</v>
      </c>
      <c r="E106" t="s">
        <v>1247</v>
      </c>
    </row>
    <row r="107" spans="1:7">
      <c r="A107" t="s">
        <v>1316</v>
      </c>
      <c r="B107" t="s">
        <v>1086</v>
      </c>
      <c r="C107" t="s">
        <v>1089</v>
      </c>
      <c r="D107" t="s">
        <v>1313</v>
      </c>
      <c r="E107" t="s">
        <v>1247</v>
      </c>
    </row>
    <row r="108" spans="1:7">
      <c r="A108" t="s">
        <v>1316</v>
      </c>
      <c r="B108" t="s">
        <v>1086</v>
      </c>
      <c r="C108" t="s">
        <v>47</v>
      </c>
      <c r="D108" t="s">
        <v>1270</v>
      </c>
      <c r="E108" t="s">
        <v>1247</v>
      </c>
      <c r="G108" t="s">
        <v>1314</v>
      </c>
    </row>
    <row r="109" spans="1:7">
      <c r="A109" t="s">
        <v>1316</v>
      </c>
      <c r="B109" t="s">
        <v>1086</v>
      </c>
      <c r="C109" t="s">
        <v>1096</v>
      </c>
      <c r="D109" t="s">
        <v>1318</v>
      </c>
      <c r="E109" t="s">
        <v>1247</v>
      </c>
    </row>
    <row r="110" spans="1:7">
      <c r="A110" t="s">
        <v>1179</v>
      </c>
      <c r="B110" t="s">
        <v>1080</v>
      </c>
      <c r="C110" t="s">
        <v>880</v>
      </c>
      <c r="D110" t="s">
        <v>1301</v>
      </c>
      <c r="E110" t="s">
        <v>1240</v>
      </c>
    </row>
    <row r="111" spans="1:7">
      <c r="A111" t="s">
        <v>1179</v>
      </c>
      <c r="B111" t="s">
        <v>1080</v>
      </c>
      <c r="C111" t="s">
        <v>1319</v>
      </c>
      <c r="D111" t="s">
        <v>1320</v>
      </c>
      <c r="E111" t="s">
        <v>1247</v>
      </c>
      <c r="G111" t="s">
        <v>1045</v>
      </c>
    </row>
    <row r="112" spans="1:7">
      <c r="A112" t="s">
        <v>1179</v>
      </c>
      <c r="B112" t="s">
        <v>1080</v>
      </c>
      <c r="C112" t="s">
        <v>881</v>
      </c>
      <c r="D112" t="s">
        <v>1321</v>
      </c>
      <c r="E112" t="s">
        <v>1247</v>
      </c>
      <c r="F112" t="s">
        <v>1322</v>
      </c>
      <c r="G112" t="s">
        <v>1006</v>
      </c>
    </row>
    <row r="113" spans="1:6">
      <c r="A113" t="s">
        <v>1179</v>
      </c>
      <c r="B113" t="s">
        <v>1080</v>
      </c>
      <c r="C113" t="s">
        <v>1007</v>
      </c>
      <c r="D113" t="s">
        <v>1323</v>
      </c>
      <c r="E113" t="s">
        <v>1247</v>
      </c>
      <c r="F113" t="s">
        <v>1322</v>
      </c>
    </row>
    <row r="114" spans="1:6">
      <c r="A114" t="s">
        <v>1179</v>
      </c>
      <c r="B114" t="s">
        <v>1080</v>
      </c>
      <c r="C114" t="s">
        <v>1016</v>
      </c>
      <c r="D114" t="s">
        <v>1324</v>
      </c>
      <c r="E114" t="s">
        <v>1247</v>
      </c>
      <c r="F114" t="s">
        <v>1322</v>
      </c>
    </row>
    <row r="115" spans="1:6">
      <c r="A115" t="s">
        <v>1179</v>
      </c>
      <c r="B115" t="s">
        <v>1080</v>
      </c>
      <c r="C115" t="s">
        <v>884</v>
      </c>
      <c r="D115" t="s">
        <v>1305</v>
      </c>
      <c r="E115" t="s">
        <v>1247</v>
      </c>
      <c r="F115" t="s">
        <v>1322</v>
      </c>
    </row>
    <row r="116" spans="1:6">
      <c r="A116" t="s">
        <v>1179</v>
      </c>
      <c r="B116" t="s">
        <v>1080</v>
      </c>
      <c r="C116" t="s">
        <v>885</v>
      </c>
      <c r="D116" t="s">
        <v>1325</v>
      </c>
      <c r="E116" t="s">
        <v>1247</v>
      </c>
      <c r="F116" t="s">
        <v>1322</v>
      </c>
    </row>
    <row r="117" spans="1:6">
      <c r="A117" t="s">
        <v>1179</v>
      </c>
      <c r="B117" t="s">
        <v>1080</v>
      </c>
      <c r="C117" t="s">
        <v>911</v>
      </c>
      <c r="D117" t="s">
        <v>1326</v>
      </c>
      <c r="E117" t="s">
        <v>1247</v>
      </c>
      <c r="F117" t="s">
        <v>1322</v>
      </c>
    </row>
    <row r="118" spans="1:6">
      <c r="A118" t="s">
        <v>1179</v>
      </c>
      <c r="B118" t="s">
        <v>1080</v>
      </c>
      <c r="C118" t="s">
        <v>48</v>
      </c>
      <c r="D118" t="s">
        <v>1327</v>
      </c>
      <c r="E118" t="s">
        <v>1247</v>
      </c>
      <c r="F118" t="s">
        <v>1322</v>
      </c>
    </row>
    <row r="119" spans="1:6">
      <c r="A119" t="s">
        <v>1179</v>
      </c>
      <c r="B119" t="s">
        <v>1080</v>
      </c>
      <c r="C119" t="s">
        <v>1046</v>
      </c>
      <c r="D119" t="s">
        <v>1328</v>
      </c>
      <c r="E119" t="s">
        <v>1247</v>
      </c>
      <c r="F119" t="s">
        <v>1322</v>
      </c>
    </row>
    <row r="120" spans="1:6">
      <c r="A120" t="s">
        <v>1179</v>
      </c>
      <c r="B120" t="s">
        <v>1080</v>
      </c>
      <c r="C120" t="s">
        <v>1018</v>
      </c>
      <c r="D120" t="s">
        <v>1307</v>
      </c>
      <c r="E120" t="s">
        <v>1247</v>
      </c>
      <c r="F120" t="s">
        <v>1322</v>
      </c>
    </row>
    <row r="121" spans="1:6">
      <c r="A121" t="s">
        <v>1179</v>
      </c>
      <c r="B121" t="s">
        <v>1080</v>
      </c>
      <c r="C121" t="s">
        <v>1049</v>
      </c>
      <c r="D121" t="s">
        <v>1329</v>
      </c>
      <c r="E121" t="s">
        <v>1247</v>
      </c>
    </row>
    <row r="122" spans="1:6">
      <c r="A122" t="s">
        <v>1179</v>
      </c>
      <c r="B122" t="s">
        <v>1080</v>
      </c>
      <c r="C122" t="s">
        <v>888</v>
      </c>
      <c r="D122" t="s">
        <v>1330</v>
      </c>
      <c r="E122" t="s">
        <v>1247</v>
      </c>
    </row>
    <row r="123" spans="1:6">
      <c r="A123" t="s">
        <v>1179</v>
      </c>
      <c r="B123" t="s">
        <v>1080</v>
      </c>
      <c r="C123" t="s">
        <v>1098</v>
      </c>
      <c r="D123" t="s">
        <v>1331</v>
      </c>
      <c r="E123" t="s">
        <v>1247</v>
      </c>
    </row>
    <row r="124" spans="1:6">
      <c r="A124" t="s">
        <v>1179</v>
      </c>
      <c r="B124" t="s">
        <v>1080</v>
      </c>
      <c r="C124" t="s">
        <v>1053</v>
      </c>
      <c r="D124" t="s">
        <v>1332</v>
      </c>
      <c r="E124" t="s">
        <v>1247</v>
      </c>
    </row>
    <row r="125" spans="1:6">
      <c r="A125" t="s">
        <v>1179</v>
      </c>
      <c r="B125" t="s">
        <v>1080</v>
      </c>
      <c r="C125" t="s">
        <v>1054</v>
      </c>
      <c r="D125" t="s">
        <v>1333</v>
      </c>
      <c r="E125" t="s">
        <v>1247</v>
      </c>
    </row>
    <row r="126" spans="1:6">
      <c r="A126" t="s">
        <v>1179</v>
      </c>
      <c r="B126" t="s">
        <v>1080</v>
      </c>
      <c r="C126" t="s">
        <v>1055</v>
      </c>
      <c r="D126" t="s">
        <v>1334</v>
      </c>
      <c r="E126" t="s">
        <v>1247</v>
      </c>
    </row>
    <row r="127" spans="1:6">
      <c r="A127" t="s">
        <v>1179</v>
      </c>
      <c r="B127" t="s">
        <v>1080</v>
      </c>
      <c r="C127" t="s">
        <v>890</v>
      </c>
      <c r="D127" t="s">
        <v>1335</v>
      </c>
      <c r="E127" t="s">
        <v>1247</v>
      </c>
    </row>
    <row r="128" spans="1:6">
      <c r="A128" t="s">
        <v>1179</v>
      </c>
      <c r="B128" t="s">
        <v>1080</v>
      </c>
      <c r="C128" t="s">
        <v>889</v>
      </c>
      <c r="D128" t="s">
        <v>1336</v>
      </c>
      <c r="E128" t="s">
        <v>1247</v>
      </c>
    </row>
    <row r="129" spans="1:7">
      <c r="A129" t="s">
        <v>1179</v>
      </c>
      <c r="B129" t="s">
        <v>1080</v>
      </c>
      <c r="C129" t="s">
        <v>892</v>
      </c>
      <c r="D129" t="s">
        <v>1337</v>
      </c>
      <c r="E129" t="s">
        <v>1247</v>
      </c>
    </row>
    <row r="130" spans="1:7">
      <c r="A130" t="s">
        <v>1179</v>
      </c>
      <c r="B130" t="s">
        <v>1080</v>
      </c>
      <c r="C130" t="s">
        <v>1062</v>
      </c>
      <c r="D130" t="s">
        <v>1338</v>
      </c>
      <c r="E130" t="s">
        <v>1247</v>
      </c>
      <c r="G130" t="s">
        <v>1339</v>
      </c>
    </row>
    <row r="131" spans="1:7">
      <c r="A131" t="s">
        <v>1179</v>
      </c>
      <c r="B131" t="s">
        <v>1080</v>
      </c>
      <c r="C131" t="s">
        <v>1063</v>
      </c>
      <c r="D131" t="s">
        <v>1340</v>
      </c>
      <c r="E131" t="s">
        <v>1247</v>
      </c>
    </row>
    <row r="132" spans="1:7">
      <c r="A132" t="s">
        <v>1179</v>
      </c>
      <c r="B132" t="s">
        <v>1080</v>
      </c>
      <c r="C132" t="s">
        <v>1050</v>
      </c>
      <c r="D132" t="s">
        <v>1341</v>
      </c>
      <c r="E132" t="s">
        <v>1247</v>
      </c>
    </row>
    <row r="133" spans="1:7">
      <c r="A133" t="s">
        <v>1179</v>
      </c>
      <c r="B133" t="s">
        <v>1080</v>
      </c>
      <c r="C133" t="s">
        <v>1051</v>
      </c>
      <c r="D133" t="s">
        <v>1342</v>
      </c>
      <c r="E133" t="s">
        <v>1247</v>
      </c>
    </row>
    <row r="134" spans="1:7">
      <c r="A134" t="s">
        <v>1179</v>
      </c>
      <c r="B134" t="s">
        <v>1080</v>
      </c>
      <c r="C134" t="s">
        <v>1052</v>
      </c>
      <c r="D134" t="s">
        <v>1343</v>
      </c>
      <c r="E134" t="s">
        <v>1247</v>
      </c>
    </row>
    <row r="135" spans="1:7">
      <c r="A135" t="s">
        <v>1179</v>
      </c>
      <c r="B135" t="s">
        <v>1080</v>
      </c>
      <c r="C135" t="s">
        <v>1047</v>
      </c>
      <c r="D135" t="s">
        <v>1344</v>
      </c>
      <c r="E135" t="s">
        <v>1247</v>
      </c>
    </row>
    <row r="136" spans="1:7">
      <c r="A136" t="s">
        <v>1179</v>
      </c>
      <c r="B136" t="s">
        <v>1080</v>
      </c>
      <c r="C136" t="s">
        <v>1048</v>
      </c>
      <c r="D136" t="s">
        <v>1345</v>
      </c>
      <c r="E136" t="s">
        <v>1247</v>
      </c>
    </row>
    <row r="137" spans="1:7">
      <c r="A137" t="s">
        <v>1179</v>
      </c>
      <c r="B137" t="s">
        <v>1080</v>
      </c>
      <c r="C137" t="s">
        <v>1010</v>
      </c>
      <c r="D137" t="s">
        <v>1346</v>
      </c>
      <c r="E137" t="s">
        <v>1247</v>
      </c>
    </row>
    <row r="138" spans="1:7">
      <c r="A138" t="s">
        <v>1179</v>
      </c>
      <c r="B138" t="s">
        <v>1080</v>
      </c>
      <c r="C138" t="s">
        <v>1064</v>
      </c>
      <c r="D138" t="s">
        <v>1347</v>
      </c>
      <c r="E138" t="s">
        <v>1247</v>
      </c>
      <c r="G138" t="s">
        <v>1348</v>
      </c>
    </row>
    <row r="139" spans="1:7">
      <c r="A139" t="s">
        <v>1179</v>
      </c>
      <c r="B139" t="s">
        <v>1080</v>
      </c>
      <c r="C139" t="s">
        <v>918</v>
      </c>
      <c r="D139" t="s">
        <v>1349</v>
      </c>
      <c r="E139" t="s">
        <v>1247</v>
      </c>
    </row>
    <row r="140" spans="1:7">
      <c r="A140" t="s">
        <v>1179</v>
      </c>
      <c r="B140" t="s">
        <v>1080</v>
      </c>
      <c r="C140" t="s">
        <v>1058</v>
      </c>
      <c r="D140" t="s">
        <v>1350</v>
      </c>
      <c r="E140" t="s">
        <v>1247</v>
      </c>
    </row>
    <row r="141" spans="1:7">
      <c r="A141" t="s">
        <v>1179</v>
      </c>
      <c r="B141" t="s">
        <v>1080</v>
      </c>
      <c r="C141" t="s">
        <v>922</v>
      </c>
      <c r="D141" t="s">
        <v>1351</v>
      </c>
      <c r="E141" t="s">
        <v>1247</v>
      </c>
    </row>
    <row r="142" spans="1:7">
      <c r="A142" t="s">
        <v>1179</v>
      </c>
      <c r="B142" t="s">
        <v>1080</v>
      </c>
      <c r="C142" t="s">
        <v>1065</v>
      </c>
      <c r="D142" t="s">
        <v>1352</v>
      </c>
      <c r="E142" t="s">
        <v>1247</v>
      </c>
    </row>
    <row r="143" spans="1:7">
      <c r="A143" t="s">
        <v>1179</v>
      </c>
      <c r="B143" t="s">
        <v>1080</v>
      </c>
      <c r="C143" t="s">
        <v>47</v>
      </c>
      <c r="D143" t="s">
        <v>1270</v>
      </c>
      <c r="E143" t="s">
        <v>1247</v>
      </c>
    </row>
    <row r="144" spans="1:7">
      <c r="A144" t="s">
        <v>1188</v>
      </c>
      <c r="B144" t="s">
        <v>1238</v>
      </c>
      <c r="C144" t="s">
        <v>1064</v>
      </c>
      <c r="D144" t="s">
        <v>1064</v>
      </c>
      <c r="E144" t="s">
        <v>1240</v>
      </c>
      <c r="G144" t="s">
        <v>1348</v>
      </c>
    </row>
    <row r="145" spans="1:7">
      <c r="A145" t="s">
        <v>1188</v>
      </c>
      <c r="B145" t="s">
        <v>1238</v>
      </c>
      <c r="C145" t="s">
        <v>1157</v>
      </c>
      <c r="D145" t="s">
        <v>1157</v>
      </c>
      <c r="E145" t="s">
        <v>1240</v>
      </c>
    </row>
    <row r="146" spans="1:7">
      <c r="A146" t="s">
        <v>1188</v>
      </c>
      <c r="B146" t="s">
        <v>1238</v>
      </c>
      <c r="C146" t="s">
        <v>1158</v>
      </c>
      <c r="D146" t="s">
        <v>1158</v>
      </c>
      <c r="E146" t="s">
        <v>1247</v>
      </c>
    </row>
    <row r="147" spans="1:7">
      <c r="A147" t="s">
        <v>1188</v>
      </c>
      <c r="B147" t="s">
        <v>1238</v>
      </c>
      <c r="C147" t="s">
        <v>1159</v>
      </c>
      <c r="D147" t="s">
        <v>1159</v>
      </c>
      <c r="E147" t="s">
        <v>1247</v>
      </c>
    </row>
    <row r="148" spans="1:7">
      <c r="A148" t="s">
        <v>1188</v>
      </c>
      <c r="B148" t="s">
        <v>1238</v>
      </c>
      <c r="C148" t="s">
        <v>1160</v>
      </c>
      <c r="D148" t="s">
        <v>1160</v>
      </c>
      <c r="E148" t="s">
        <v>1247</v>
      </c>
    </row>
    <row r="149" spans="1:7">
      <c r="A149" t="s">
        <v>1188</v>
      </c>
      <c r="B149" t="s">
        <v>1238</v>
      </c>
      <c r="C149" t="s">
        <v>1161</v>
      </c>
      <c r="D149" t="s">
        <v>1161</v>
      </c>
      <c r="E149" t="s">
        <v>1247</v>
      </c>
    </row>
    <row r="150" spans="1:7">
      <c r="A150" t="s">
        <v>1188</v>
      </c>
      <c r="B150" t="s">
        <v>1238</v>
      </c>
      <c r="C150" t="s">
        <v>46</v>
      </c>
      <c r="D150" t="s">
        <v>46</v>
      </c>
      <c r="E150" t="s">
        <v>1247</v>
      </c>
    </row>
    <row r="151" spans="1:7">
      <c r="A151" t="s">
        <v>1189</v>
      </c>
      <c r="B151" t="s">
        <v>1238</v>
      </c>
      <c r="C151" t="s">
        <v>1162</v>
      </c>
      <c r="D151" t="s">
        <v>1272</v>
      </c>
      <c r="E151" t="s">
        <v>1240</v>
      </c>
      <c r="G151" t="s">
        <v>1153</v>
      </c>
    </row>
    <row r="152" spans="1:7">
      <c r="A152" t="s">
        <v>1189</v>
      </c>
      <c r="B152" t="s">
        <v>1238</v>
      </c>
      <c r="C152" t="s">
        <v>1163</v>
      </c>
      <c r="D152" t="s">
        <v>1353</v>
      </c>
      <c r="E152" t="s">
        <v>1240</v>
      </c>
      <c r="G152" t="s">
        <v>878</v>
      </c>
    </row>
    <row r="153" spans="1:7">
      <c r="A153" t="s">
        <v>1189</v>
      </c>
      <c r="B153" t="s">
        <v>1238</v>
      </c>
      <c r="C153" t="s">
        <v>1164</v>
      </c>
      <c r="D153" t="s">
        <v>1354</v>
      </c>
      <c r="E153" t="s">
        <v>1247</v>
      </c>
    </row>
    <row r="154" spans="1:7">
      <c r="A154" t="s">
        <v>1189</v>
      </c>
      <c r="B154" t="s">
        <v>1238</v>
      </c>
      <c r="C154" t="s">
        <v>1165</v>
      </c>
      <c r="D154" t="s">
        <v>1355</v>
      </c>
      <c r="E154" t="s">
        <v>1240</v>
      </c>
    </row>
    <row r="155" spans="1:7">
      <c r="A155" t="s">
        <v>1189</v>
      </c>
      <c r="B155" t="s">
        <v>1238</v>
      </c>
      <c r="C155" t="s">
        <v>1166</v>
      </c>
      <c r="D155" t="s">
        <v>1356</v>
      </c>
      <c r="E155" t="s">
        <v>1247</v>
      </c>
    </row>
    <row r="156" spans="1:7">
      <c r="A156" t="s">
        <v>1182</v>
      </c>
      <c r="B156" t="s">
        <v>1238</v>
      </c>
      <c r="C156" t="s">
        <v>1003</v>
      </c>
      <c r="D156" t="s">
        <v>1242</v>
      </c>
      <c r="E156" t="s">
        <v>1247</v>
      </c>
      <c r="G156" t="s">
        <v>1357</v>
      </c>
    </row>
    <row r="157" spans="1:7">
      <c r="A157" t="s">
        <v>1182</v>
      </c>
      <c r="B157" t="s">
        <v>1238</v>
      </c>
      <c r="C157" t="s">
        <v>1004</v>
      </c>
      <c r="D157" t="s">
        <v>1244</v>
      </c>
      <c r="E157" t="s">
        <v>1240</v>
      </c>
    </row>
    <row r="158" spans="1:7">
      <c r="A158" t="s">
        <v>1182</v>
      </c>
      <c r="B158" t="s">
        <v>1238</v>
      </c>
      <c r="C158" t="s">
        <v>27</v>
      </c>
      <c r="D158" t="s">
        <v>1246</v>
      </c>
      <c r="E158" t="s">
        <v>1247</v>
      </c>
    </row>
    <row r="159" spans="1:7">
      <c r="A159" t="s">
        <v>1182</v>
      </c>
      <c r="B159" t="s">
        <v>1238</v>
      </c>
      <c r="C159" t="s">
        <v>46</v>
      </c>
      <c r="D159" t="s">
        <v>1269</v>
      </c>
      <c r="E159" t="s">
        <v>1247</v>
      </c>
    </row>
    <row r="160" spans="1:7">
      <c r="A160" t="s">
        <v>1182</v>
      </c>
      <c r="B160" t="s">
        <v>1238</v>
      </c>
      <c r="C160" t="s">
        <v>35</v>
      </c>
      <c r="D160" t="s">
        <v>1257</v>
      </c>
      <c r="E160" t="s">
        <v>1247</v>
      </c>
    </row>
    <row r="161" spans="1:5">
      <c r="A161" t="s">
        <v>1182</v>
      </c>
      <c r="B161" t="s">
        <v>1238</v>
      </c>
      <c r="C161" t="s">
        <v>32</v>
      </c>
      <c r="D161" t="s">
        <v>1253</v>
      </c>
      <c r="E161" t="s">
        <v>1247</v>
      </c>
    </row>
    <row r="162" spans="1:5">
      <c r="A162" t="s">
        <v>1182</v>
      </c>
      <c r="B162" t="s">
        <v>1238</v>
      </c>
      <c r="C162" t="s">
        <v>34</v>
      </c>
      <c r="D162" t="s">
        <v>1255</v>
      </c>
      <c r="E162" t="s">
        <v>1247</v>
      </c>
    </row>
    <row r="163" spans="1:5">
      <c r="A163" t="s">
        <v>1182</v>
      </c>
      <c r="B163" t="s">
        <v>1238</v>
      </c>
      <c r="C163" t="s">
        <v>36</v>
      </c>
      <c r="D163" t="s">
        <v>1258</v>
      </c>
      <c r="E163" t="s">
        <v>1247</v>
      </c>
    </row>
    <row r="164" spans="1:5">
      <c r="A164" t="s">
        <v>1182</v>
      </c>
      <c r="B164" t="s">
        <v>1238</v>
      </c>
      <c r="C164" t="s">
        <v>37</v>
      </c>
      <c r="D164" t="s">
        <v>1259</v>
      </c>
      <c r="E164" t="s">
        <v>1247</v>
      </c>
    </row>
    <row r="165" spans="1:5">
      <c r="A165" t="s">
        <v>1182</v>
      </c>
      <c r="B165" t="s">
        <v>1238</v>
      </c>
      <c r="C165" t="s">
        <v>38</v>
      </c>
      <c r="D165" t="s">
        <v>1260</v>
      </c>
      <c r="E165" t="s">
        <v>1247</v>
      </c>
    </row>
    <row r="166" spans="1:5">
      <c r="A166" t="s">
        <v>1182</v>
      </c>
      <c r="B166" t="s">
        <v>1238</v>
      </c>
      <c r="C166" t="s">
        <v>39</v>
      </c>
      <c r="D166" t="s">
        <v>1261</v>
      </c>
      <c r="E166" t="s">
        <v>1247</v>
      </c>
    </row>
    <row r="167" spans="1:5">
      <c r="A167" t="s">
        <v>1182</v>
      </c>
      <c r="B167" t="s">
        <v>1238</v>
      </c>
      <c r="C167" t="s">
        <v>40</v>
      </c>
      <c r="D167" t="s">
        <v>1262</v>
      </c>
      <c r="E167" t="s">
        <v>1247</v>
      </c>
    </row>
    <row r="168" spans="1:5">
      <c r="A168" t="s">
        <v>1182</v>
      </c>
      <c r="B168" t="s">
        <v>1238</v>
      </c>
      <c r="C168" t="s">
        <v>41</v>
      </c>
      <c r="D168" t="s">
        <v>1263</v>
      </c>
      <c r="E168" t="s">
        <v>1247</v>
      </c>
    </row>
    <row r="169" spans="1:5">
      <c r="A169" t="s">
        <v>1182</v>
      </c>
      <c r="B169" t="s">
        <v>1238</v>
      </c>
      <c r="C169" t="s">
        <v>42</v>
      </c>
      <c r="D169" t="s">
        <v>1264</v>
      </c>
      <c r="E169" t="s">
        <v>1247</v>
      </c>
    </row>
    <row r="170" spans="1:5">
      <c r="A170" t="s">
        <v>1182</v>
      </c>
      <c r="B170" t="s">
        <v>1238</v>
      </c>
      <c r="C170" t="s">
        <v>43</v>
      </c>
      <c r="D170" t="s">
        <v>1265</v>
      </c>
      <c r="E170" t="s">
        <v>1247</v>
      </c>
    </row>
    <row r="171" spans="1:5">
      <c r="A171" t="s">
        <v>1182</v>
      </c>
      <c r="B171" t="s">
        <v>1238</v>
      </c>
      <c r="C171" t="s">
        <v>31</v>
      </c>
      <c r="D171" t="s">
        <v>1252</v>
      </c>
      <c r="E171" t="s">
        <v>1247</v>
      </c>
    </row>
    <row r="172" spans="1:5">
      <c r="A172" t="s">
        <v>1182</v>
      </c>
      <c r="B172" t="s">
        <v>1238</v>
      </c>
      <c r="C172" t="s">
        <v>30</v>
      </c>
      <c r="D172" t="s">
        <v>1251</v>
      </c>
      <c r="E172" t="s">
        <v>1247</v>
      </c>
    </row>
    <row r="173" spans="1:5">
      <c r="A173" t="s">
        <v>1182</v>
      </c>
      <c r="B173" t="s">
        <v>1238</v>
      </c>
      <c r="C173" t="s">
        <v>44</v>
      </c>
      <c r="D173" t="s">
        <v>1267</v>
      </c>
      <c r="E173" t="s">
        <v>1247</v>
      </c>
    </row>
    <row r="174" spans="1:5">
      <c r="A174" t="s">
        <v>1182</v>
      </c>
      <c r="B174" t="s">
        <v>1238</v>
      </c>
      <c r="C174" t="s">
        <v>45</v>
      </c>
      <c r="D174" t="s">
        <v>1268</v>
      </c>
      <c r="E174" t="s">
        <v>1247</v>
      </c>
    </row>
    <row r="175" spans="1:5">
      <c r="A175" t="s">
        <v>1182</v>
      </c>
      <c r="B175" t="s">
        <v>1238</v>
      </c>
      <c r="C175" t="s">
        <v>28</v>
      </c>
      <c r="D175" t="s">
        <v>1249</v>
      </c>
      <c r="E175" t="s">
        <v>1247</v>
      </c>
    </row>
    <row r="176" spans="1:5">
      <c r="A176" t="s">
        <v>1182</v>
      </c>
      <c r="B176" t="s">
        <v>1238</v>
      </c>
      <c r="C176" t="s">
        <v>29</v>
      </c>
      <c r="D176" t="s">
        <v>1250</v>
      </c>
      <c r="E176" t="s">
        <v>1247</v>
      </c>
    </row>
    <row r="177" spans="1:7">
      <c r="A177" t="s">
        <v>1182</v>
      </c>
      <c r="B177" t="s">
        <v>1238</v>
      </c>
      <c r="C177" t="s">
        <v>47</v>
      </c>
      <c r="D177" t="s">
        <v>1270</v>
      </c>
      <c r="E177" t="s">
        <v>1247</v>
      </c>
    </row>
    <row r="178" spans="1:7">
      <c r="A178" t="s">
        <v>1185</v>
      </c>
      <c r="B178" t="s">
        <v>1238</v>
      </c>
      <c r="C178" t="s">
        <v>26</v>
      </c>
      <c r="D178" t="s">
        <v>1242</v>
      </c>
      <c r="E178" t="s">
        <v>1240</v>
      </c>
    </row>
    <row r="179" spans="1:7">
      <c r="A179" t="s">
        <v>1185</v>
      </c>
      <c r="B179" t="s">
        <v>1238</v>
      </c>
      <c r="C179" t="s">
        <v>25</v>
      </c>
      <c r="D179" t="s">
        <v>1244</v>
      </c>
      <c r="E179" t="s">
        <v>1240</v>
      </c>
    </row>
    <row r="180" spans="1:7">
      <c r="A180" t="s">
        <v>1185</v>
      </c>
      <c r="B180" t="s">
        <v>1238</v>
      </c>
      <c r="C180" t="s">
        <v>1005</v>
      </c>
      <c r="D180" t="s">
        <v>1358</v>
      </c>
      <c r="E180" t="s">
        <v>1247</v>
      </c>
    </row>
    <row r="181" spans="1:7">
      <c r="A181" t="s">
        <v>1185</v>
      </c>
      <c r="B181" t="s">
        <v>1238</v>
      </c>
      <c r="C181" t="s">
        <v>46</v>
      </c>
      <c r="D181" t="s">
        <v>1269</v>
      </c>
      <c r="E181" t="s">
        <v>1247</v>
      </c>
    </row>
    <row r="182" spans="1:7">
      <c r="A182" t="s">
        <v>913</v>
      </c>
      <c r="B182" t="s">
        <v>1238</v>
      </c>
      <c r="C182" t="s">
        <v>26</v>
      </c>
      <c r="D182" t="s">
        <v>1242</v>
      </c>
      <c r="E182" t="s">
        <v>1240</v>
      </c>
    </row>
    <row r="183" spans="1:7">
      <c r="A183" t="s">
        <v>913</v>
      </c>
      <c r="B183" t="s">
        <v>1238</v>
      </c>
      <c r="C183" t="s">
        <v>25</v>
      </c>
      <c r="D183" t="s">
        <v>1244</v>
      </c>
      <c r="E183" t="s">
        <v>1240</v>
      </c>
    </row>
    <row r="184" spans="1:7">
      <c r="A184" t="s">
        <v>913</v>
      </c>
      <c r="B184" t="s">
        <v>1238</v>
      </c>
      <c r="C184" t="s">
        <v>47</v>
      </c>
      <c r="D184" t="s">
        <v>1270</v>
      </c>
      <c r="E184" t="s">
        <v>1247</v>
      </c>
    </row>
    <row r="185" spans="1:7">
      <c r="A185" t="s">
        <v>913</v>
      </c>
      <c r="B185" t="s">
        <v>1238</v>
      </c>
      <c r="C185" t="s">
        <v>46</v>
      </c>
      <c r="D185" t="s">
        <v>1269</v>
      </c>
      <c r="E185" t="s">
        <v>1247</v>
      </c>
    </row>
    <row r="186" spans="1:7">
      <c r="A186" t="s">
        <v>1191</v>
      </c>
      <c r="B186" t="s">
        <v>1238</v>
      </c>
      <c r="C186" t="s">
        <v>1359</v>
      </c>
      <c r="D186" t="s">
        <v>1359</v>
      </c>
      <c r="E186" t="s">
        <v>1247</v>
      </c>
      <c r="G186" t="s">
        <v>878</v>
      </c>
    </row>
    <row r="187" spans="1:7">
      <c r="A187" t="s">
        <v>1191</v>
      </c>
      <c r="B187" t="s">
        <v>1238</v>
      </c>
      <c r="C187" t="s">
        <v>1360</v>
      </c>
      <c r="D187" t="s">
        <v>1360</v>
      </c>
      <c r="E187" t="s">
        <v>1247</v>
      </c>
      <c r="G187" t="s">
        <v>877</v>
      </c>
    </row>
    <row r="188" spans="1:7">
      <c r="A188" t="s">
        <v>1191</v>
      </c>
      <c r="B188" t="s">
        <v>1238</v>
      </c>
      <c r="C188" t="s">
        <v>880</v>
      </c>
      <c r="D188" t="s">
        <v>880</v>
      </c>
      <c r="E188" t="s">
        <v>1240</v>
      </c>
      <c r="G188" t="s">
        <v>1361</v>
      </c>
    </row>
    <row r="189" spans="1:7">
      <c r="A189" t="s">
        <v>1191</v>
      </c>
      <c r="B189" t="s">
        <v>1238</v>
      </c>
      <c r="C189" t="s">
        <v>1362</v>
      </c>
      <c r="D189" t="s">
        <v>1362</v>
      </c>
      <c r="E189" t="s">
        <v>1247</v>
      </c>
      <c r="G189" t="s">
        <v>879</v>
      </c>
    </row>
    <row r="190" spans="1:7">
      <c r="A190" t="s">
        <v>1191</v>
      </c>
      <c r="B190" t="s">
        <v>1238</v>
      </c>
      <c r="C190" t="s">
        <v>1010</v>
      </c>
      <c r="D190" t="s">
        <v>1010</v>
      </c>
      <c r="E190" t="s">
        <v>1247</v>
      </c>
      <c r="G190" t="s">
        <v>1363</v>
      </c>
    </row>
    <row r="191" spans="1:7">
      <c r="A191" t="s">
        <v>1191</v>
      </c>
      <c r="B191" t="s">
        <v>1238</v>
      </c>
      <c r="C191" t="s">
        <v>1006</v>
      </c>
      <c r="D191" t="s">
        <v>1006</v>
      </c>
      <c r="E191" t="s">
        <v>1240</v>
      </c>
    </row>
    <row r="192" spans="1:7">
      <c r="A192" t="s">
        <v>1191</v>
      </c>
      <c r="B192" t="s">
        <v>1238</v>
      </c>
      <c r="C192" t="s">
        <v>1007</v>
      </c>
      <c r="D192" t="s">
        <v>1007</v>
      </c>
      <c r="E192" t="s">
        <v>1247</v>
      </c>
    </row>
    <row r="193" spans="1:7">
      <c r="A193" t="s">
        <v>1191</v>
      </c>
      <c r="B193" t="s">
        <v>1238</v>
      </c>
      <c r="C193" t="s">
        <v>1008</v>
      </c>
      <c r="D193" t="s">
        <v>1008</v>
      </c>
      <c r="E193" t="s">
        <v>1247</v>
      </c>
      <c r="G193" t="s">
        <v>1016</v>
      </c>
    </row>
    <row r="194" spans="1:7">
      <c r="A194" t="s">
        <v>1191</v>
      </c>
      <c r="B194" t="s">
        <v>1238</v>
      </c>
      <c r="C194" t="s">
        <v>884</v>
      </c>
      <c r="D194" t="s">
        <v>884</v>
      </c>
      <c r="E194" t="s">
        <v>1247</v>
      </c>
    </row>
    <row r="195" spans="1:7">
      <c r="A195" t="s">
        <v>1191</v>
      </c>
      <c r="B195" t="s">
        <v>1238</v>
      </c>
      <c r="C195" t="s">
        <v>1009</v>
      </c>
      <c r="D195" t="s">
        <v>1009</v>
      </c>
      <c r="E195" t="s">
        <v>1240</v>
      </c>
    </row>
    <row r="196" spans="1:7">
      <c r="A196" t="s">
        <v>1191</v>
      </c>
      <c r="B196" t="s">
        <v>1238</v>
      </c>
      <c r="C196" t="s">
        <v>1364</v>
      </c>
      <c r="D196" t="s">
        <v>1364</v>
      </c>
      <c r="E196" t="s">
        <v>1247</v>
      </c>
    </row>
    <row r="197" spans="1:7">
      <c r="A197" t="s">
        <v>1191</v>
      </c>
      <c r="B197" t="s">
        <v>1238</v>
      </c>
      <c r="C197" t="s">
        <v>1011</v>
      </c>
      <c r="D197" t="s">
        <v>1011</v>
      </c>
      <c r="E197" t="s">
        <v>1247</v>
      </c>
    </row>
    <row r="198" spans="1:7">
      <c r="A198" t="s">
        <v>1191</v>
      </c>
      <c r="B198" t="s">
        <v>1238</v>
      </c>
      <c r="C198" t="s">
        <v>47</v>
      </c>
      <c r="D198" t="s">
        <v>47</v>
      </c>
      <c r="E198" t="s">
        <v>1247</v>
      </c>
    </row>
    <row r="199" spans="1:7">
      <c r="A199" t="s">
        <v>1191</v>
      </c>
      <c r="B199" t="s">
        <v>1238</v>
      </c>
      <c r="C199" t="s">
        <v>1012</v>
      </c>
      <c r="D199" t="s">
        <v>1012</v>
      </c>
      <c r="E199" t="s">
        <v>1247</v>
      </c>
    </row>
    <row r="200" spans="1:7">
      <c r="A200" t="s">
        <v>1191</v>
      </c>
      <c r="B200" t="s">
        <v>1238</v>
      </c>
      <c r="C200" t="s">
        <v>1013</v>
      </c>
      <c r="D200" t="s">
        <v>1013</v>
      </c>
      <c r="E200" t="s">
        <v>1247</v>
      </c>
    </row>
    <row r="201" spans="1:7">
      <c r="A201" t="s">
        <v>1191</v>
      </c>
      <c r="B201" t="s">
        <v>1238</v>
      </c>
      <c r="C201" t="s">
        <v>1014</v>
      </c>
      <c r="D201" t="s">
        <v>1014</v>
      </c>
      <c r="E201" t="s">
        <v>1247</v>
      </c>
    </row>
    <row r="202" spans="1:7">
      <c r="A202" t="s">
        <v>1190</v>
      </c>
      <c r="B202" t="s">
        <v>1238</v>
      </c>
      <c r="C202" t="s">
        <v>880</v>
      </c>
      <c r="D202" t="s">
        <v>880</v>
      </c>
      <c r="E202" t="s">
        <v>1240</v>
      </c>
    </row>
    <row r="203" spans="1:7">
      <c r="A203" t="s">
        <v>1190</v>
      </c>
      <c r="B203" t="s">
        <v>1238</v>
      </c>
      <c r="C203" t="s">
        <v>25</v>
      </c>
      <c r="D203" t="s">
        <v>25</v>
      </c>
      <c r="E203" t="s">
        <v>1240</v>
      </c>
    </row>
    <row r="204" spans="1:7">
      <c r="A204" t="s">
        <v>1190</v>
      </c>
      <c r="B204" t="s">
        <v>1238</v>
      </c>
      <c r="C204" t="s">
        <v>1016</v>
      </c>
      <c r="D204" t="s">
        <v>1016</v>
      </c>
      <c r="E204" t="s">
        <v>1247</v>
      </c>
    </row>
    <row r="205" spans="1:7">
      <c r="A205" t="s">
        <v>1190</v>
      </c>
      <c r="B205" t="s">
        <v>1238</v>
      </c>
      <c r="C205" t="s">
        <v>884</v>
      </c>
      <c r="D205" t="s">
        <v>884</v>
      </c>
      <c r="E205" t="s">
        <v>1240</v>
      </c>
    </row>
    <row r="206" spans="1:7">
      <c r="A206" t="s">
        <v>1190</v>
      </c>
      <c r="B206" t="s">
        <v>1238</v>
      </c>
      <c r="C206" t="s">
        <v>1017</v>
      </c>
      <c r="D206" t="s">
        <v>1017</v>
      </c>
      <c r="E206" t="s">
        <v>1247</v>
      </c>
    </row>
    <row r="207" spans="1:7">
      <c r="A207" t="s">
        <v>1190</v>
      </c>
      <c r="B207" t="s">
        <v>1238</v>
      </c>
      <c r="C207" t="s">
        <v>1018</v>
      </c>
      <c r="D207" t="s">
        <v>1018</v>
      </c>
      <c r="E207" t="s">
        <v>1247</v>
      </c>
    </row>
    <row r="208" spans="1:7">
      <c r="A208" t="s">
        <v>1365</v>
      </c>
      <c r="B208" t="s">
        <v>1238</v>
      </c>
      <c r="C208" t="s">
        <v>1019</v>
      </c>
      <c r="D208" t="s">
        <v>1019</v>
      </c>
      <c r="E208" t="s">
        <v>1247</v>
      </c>
    </row>
    <row r="209" spans="1:5">
      <c r="A209" t="s">
        <v>1365</v>
      </c>
      <c r="B209" t="s">
        <v>1238</v>
      </c>
      <c r="C209" t="s">
        <v>1020</v>
      </c>
      <c r="D209" t="s">
        <v>1020</v>
      </c>
      <c r="E209" t="s">
        <v>1240</v>
      </c>
    </row>
    <row r="210" spans="1:5">
      <c r="A210" t="s">
        <v>1365</v>
      </c>
      <c r="B210" t="s">
        <v>1238</v>
      </c>
      <c r="C210" t="s">
        <v>1021</v>
      </c>
      <c r="D210" t="s">
        <v>1021</v>
      </c>
      <c r="E210" t="s">
        <v>1247</v>
      </c>
    </row>
    <row r="211" spans="1:5">
      <c r="A211" t="s">
        <v>1365</v>
      </c>
      <c r="B211" t="s">
        <v>1238</v>
      </c>
      <c r="C211" t="s">
        <v>47</v>
      </c>
      <c r="D211" t="s">
        <v>47</v>
      </c>
      <c r="E211" t="s">
        <v>1247</v>
      </c>
    </row>
    <row r="212" spans="1:5">
      <c r="A212" t="s">
        <v>1365</v>
      </c>
      <c r="B212" t="s">
        <v>1238</v>
      </c>
      <c r="C212" t="s">
        <v>880</v>
      </c>
      <c r="D212" t="s">
        <v>880</v>
      </c>
      <c r="E212" t="s">
        <v>1240</v>
      </c>
    </row>
    <row r="213" spans="1:5">
      <c r="A213" t="s">
        <v>1365</v>
      </c>
      <c r="B213" t="s">
        <v>1238</v>
      </c>
      <c r="C213" t="s">
        <v>885</v>
      </c>
      <c r="D213" t="s">
        <v>885</v>
      </c>
      <c r="E213" t="s">
        <v>1240</v>
      </c>
    </row>
    <row r="214" spans="1:5">
      <c r="A214" t="s">
        <v>1365</v>
      </c>
      <c r="B214" t="s">
        <v>1238</v>
      </c>
      <c r="C214" t="s">
        <v>1018</v>
      </c>
      <c r="D214" t="s">
        <v>1018</v>
      </c>
      <c r="E214" t="s">
        <v>1240</v>
      </c>
    </row>
    <row r="215" spans="1:5">
      <c r="A215" t="s">
        <v>1366</v>
      </c>
      <c r="B215" t="s">
        <v>1238</v>
      </c>
      <c r="C215" t="s">
        <v>1019</v>
      </c>
      <c r="D215" t="s">
        <v>1019</v>
      </c>
      <c r="E215" t="s">
        <v>1247</v>
      </c>
    </row>
    <row r="216" spans="1:5">
      <c r="A216" t="s">
        <v>1366</v>
      </c>
      <c r="B216" t="s">
        <v>1238</v>
      </c>
      <c r="C216" t="s">
        <v>1020</v>
      </c>
      <c r="D216" t="s">
        <v>1020</v>
      </c>
      <c r="E216" t="s">
        <v>1240</v>
      </c>
    </row>
    <row r="217" spans="1:5">
      <c r="A217" t="s">
        <v>1366</v>
      </c>
      <c r="B217" t="s">
        <v>1238</v>
      </c>
      <c r="C217" t="s">
        <v>1021</v>
      </c>
      <c r="D217" t="s">
        <v>1021</v>
      </c>
      <c r="E217" t="s">
        <v>1247</v>
      </c>
    </row>
    <row r="218" spans="1:5">
      <c r="A218" t="s">
        <v>1366</v>
      </c>
      <c r="B218" t="s">
        <v>1238</v>
      </c>
      <c r="C218" t="s">
        <v>47</v>
      </c>
      <c r="D218" t="s">
        <v>47</v>
      </c>
      <c r="E218" t="s">
        <v>1247</v>
      </c>
    </row>
    <row r="219" spans="1:5">
      <c r="A219" t="s">
        <v>1366</v>
      </c>
      <c r="B219" t="s">
        <v>1238</v>
      </c>
      <c r="C219" t="s">
        <v>880</v>
      </c>
      <c r="D219" t="s">
        <v>880</v>
      </c>
      <c r="E219" t="s">
        <v>1240</v>
      </c>
    </row>
    <row r="220" spans="1:5">
      <c r="A220" t="s">
        <v>1366</v>
      </c>
      <c r="B220" t="s">
        <v>1238</v>
      </c>
      <c r="C220" t="s">
        <v>885</v>
      </c>
      <c r="D220" t="s">
        <v>885</v>
      </c>
      <c r="E220" t="s">
        <v>1240</v>
      </c>
    </row>
    <row r="221" spans="1:5">
      <c r="A221" t="s">
        <v>1366</v>
      </c>
      <c r="B221" t="s">
        <v>1238</v>
      </c>
      <c r="C221" t="s">
        <v>1018</v>
      </c>
      <c r="D221" t="s">
        <v>1018</v>
      </c>
      <c r="E221" t="s">
        <v>1240</v>
      </c>
    </row>
    <row r="222" spans="1:5">
      <c r="A222" t="s">
        <v>1223</v>
      </c>
      <c r="B222" t="s">
        <v>1238</v>
      </c>
      <c r="C222" t="s">
        <v>1022</v>
      </c>
      <c r="D222" t="s">
        <v>1022</v>
      </c>
      <c r="E222" t="s">
        <v>1247</v>
      </c>
    </row>
    <row r="223" spans="1:5">
      <c r="A223" t="s">
        <v>1223</v>
      </c>
      <c r="B223" t="s">
        <v>1238</v>
      </c>
      <c r="C223" t="s">
        <v>1023</v>
      </c>
      <c r="D223" t="s">
        <v>1023</v>
      </c>
      <c r="E223" t="s">
        <v>1240</v>
      </c>
    </row>
    <row r="224" spans="1:5">
      <c r="A224" t="s">
        <v>1223</v>
      </c>
      <c r="B224" t="s">
        <v>1238</v>
      </c>
      <c r="C224" t="s">
        <v>1024</v>
      </c>
      <c r="D224" t="s">
        <v>1024</v>
      </c>
      <c r="E224" t="s">
        <v>1247</v>
      </c>
    </row>
    <row r="225" spans="1:5">
      <c r="A225" t="s">
        <v>1223</v>
      </c>
      <c r="B225" t="s">
        <v>1238</v>
      </c>
      <c r="C225" t="s">
        <v>1025</v>
      </c>
      <c r="D225" t="s">
        <v>1025</v>
      </c>
      <c r="E225" t="s">
        <v>1247</v>
      </c>
    </row>
    <row r="226" spans="1:5">
      <c r="A226" t="s">
        <v>1223</v>
      </c>
      <c r="B226" t="s">
        <v>1238</v>
      </c>
      <c r="C226" t="s">
        <v>1026</v>
      </c>
      <c r="D226" t="s">
        <v>1026</v>
      </c>
      <c r="E226" t="s">
        <v>1247</v>
      </c>
    </row>
    <row r="227" spans="1:5">
      <c r="A227" t="s">
        <v>1223</v>
      </c>
      <c r="B227" t="s">
        <v>1238</v>
      </c>
      <c r="C227" t="s">
        <v>1027</v>
      </c>
      <c r="D227" t="s">
        <v>1027</v>
      </c>
      <c r="E227" t="s">
        <v>1240</v>
      </c>
    </row>
    <row r="228" spans="1:5">
      <c r="A228" t="s">
        <v>1223</v>
      </c>
      <c r="B228" t="s">
        <v>1238</v>
      </c>
      <c r="C228" t="s">
        <v>1028</v>
      </c>
      <c r="D228" t="s">
        <v>1028</v>
      </c>
      <c r="E228" t="s">
        <v>1247</v>
      </c>
    </row>
    <row r="229" spans="1:5">
      <c r="A229" t="s">
        <v>1223</v>
      </c>
      <c r="B229" t="s">
        <v>1238</v>
      </c>
      <c r="C229" t="s">
        <v>1029</v>
      </c>
      <c r="D229" t="s">
        <v>1029</v>
      </c>
      <c r="E229" t="s">
        <v>1247</v>
      </c>
    </row>
    <row r="230" spans="1:5">
      <c r="A230" t="s">
        <v>1223</v>
      </c>
      <c r="B230" t="s">
        <v>1238</v>
      </c>
      <c r="C230" t="s">
        <v>1030</v>
      </c>
      <c r="D230" t="s">
        <v>1030</v>
      </c>
      <c r="E230" t="s">
        <v>1247</v>
      </c>
    </row>
    <row r="231" spans="1:5">
      <c r="A231" t="s">
        <v>1223</v>
      </c>
      <c r="B231" t="s">
        <v>1238</v>
      </c>
      <c r="C231" t="s">
        <v>47</v>
      </c>
      <c r="D231" t="s">
        <v>47</v>
      </c>
      <c r="E231" t="s">
        <v>1247</v>
      </c>
    </row>
    <row r="232" spans="1:5">
      <c r="A232" t="s">
        <v>1223</v>
      </c>
      <c r="B232" t="s">
        <v>1238</v>
      </c>
      <c r="C232" t="s">
        <v>880</v>
      </c>
      <c r="D232" t="s">
        <v>880</v>
      </c>
      <c r="E232" t="s">
        <v>1240</v>
      </c>
    </row>
    <row r="233" spans="1:5">
      <c r="A233" t="s">
        <v>1223</v>
      </c>
      <c r="B233" t="s">
        <v>1238</v>
      </c>
      <c r="C233" t="s">
        <v>885</v>
      </c>
      <c r="D233" t="s">
        <v>885</v>
      </c>
      <c r="E233" t="s">
        <v>1240</v>
      </c>
    </row>
    <row r="234" spans="1:5">
      <c r="A234" t="s">
        <v>1223</v>
      </c>
      <c r="B234" t="s">
        <v>1238</v>
      </c>
      <c r="C234" t="s">
        <v>1018</v>
      </c>
      <c r="D234" t="s">
        <v>1018</v>
      </c>
      <c r="E234" t="s">
        <v>1247</v>
      </c>
    </row>
    <row r="235" spans="1:5">
      <c r="A235" t="s">
        <v>1223</v>
      </c>
      <c r="B235" t="s">
        <v>1238</v>
      </c>
      <c r="C235" t="s">
        <v>1031</v>
      </c>
      <c r="D235" t="s">
        <v>1031</v>
      </c>
      <c r="E235" t="s">
        <v>1247</v>
      </c>
    </row>
    <row r="236" spans="1:5">
      <c r="A236" t="s">
        <v>1367</v>
      </c>
      <c r="B236" t="s">
        <v>1238</v>
      </c>
      <c r="C236" t="s">
        <v>1022</v>
      </c>
      <c r="D236" t="s">
        <v>1022</v>
      </c>
      <c r="E236" t="s">
        <v>1247</v>
      </c>
    </row>
    <row r="237" spans="1:5">
      <c r="A237" t="s">
        <v>1367</v>
      </c>
      <c r="B237" t="s">
        <v>1238</v>
      </c>
      <c r="C237" t="s">
        <v>1023</v>
      </c>
      <c r="D237" t="s">
        <v>1023</v>
      </c>
      <c r="E237" t="s">
        <v>1240</v>
      </c>
    </row>
    <row r="238" spans="1:5">
      <c r="A238" t="s">
        <v>1367</v>
      </c>
      <c r="B238" t="s">
        <v>1238</v>
      </c>
      <c r="C238" t="s">
        <v>1024</v>
      </c>
      <c r="D238" t="s">
        <v>1024</v>
      </c>
      <c r="E238" t="s">
        <v>1247</v>
      </c>
    </row>
    <row r="239" spans="1:5">
      <c r="A239" t="s">
        <v>1367</v>
      </c>
      <c r="B239" t="s">
        <v>1238</v>
      </c>
      <c r="C239" t="s">
        <v>1025</v>
      </c>
      <c r="D239" t="s">
        <v>1025</v>
      </c>
      <c r="E239" t="s">
        <v>1247</v>
      </c>
    </row>
    <row r="240" spans="1:5">
      <c r="A240" t="s">
        <v>1367</v>
      </c>
      <c r="B240" t="s">
        <v>1238</v>
      </c>
      <c r="C240" t="s">
        <v>1026</v>
      </c>
      <c r="D240" t="s">
        <v>1026</v>
      </c>
      <c r="E240" t="s">
        <v>1247</v>
      </c>
    </row>
    <row r="241" spans="1:5">
      <c r="A241" t="s">
        <v>1367</v>
      </c>
      <c r="B241" t="s">
        <v>1238</v>
      </c>
      <c r="C241" t="s">
        <v>1027</v>
      </c>
      <c r="D241" t="s">
        <v>1027</v>
      </c>
      <c r="E241" t="s">
        <v>1240</v>
      </c>
    </row>
    <row r="242" spans="1:5">
      <c r="A242" t="s">
        <v>1367</v>
      </c>
      <c r="B242" t="s">
        <v>1238</v>
      </c>
      <c r="C242" t="s">
        <v>1028</v>
      </c>
      <c r="D242" t="s">
        <v>1028</v>
      </c>
      <c r="E242" t="s">
        <v>1247</v>
      </c>
    </row>
    <row r="243" spans="1:5">
      <c r="A243" t="s">
        <v>1367</v>
      </c>
      <c r="B243" t="s">
        <v>1238</v>
      </c>
      <c r="C243" t="s">
        <v>1029</v>
      </c>
      <c r="D243" t="s">
        <v>1029</v>
      </c>
      <c r="E243" t="s">
        <v>1247</v>
      </c>
    </row>
    <row r="244" spans="1:5">
      <c r="A244" t="s">
        <v>1367</v>
      </c>
      <c r="B244" t="s">
        <v>1238</v>
      </c>
      <c r="C244" t="s">
        <v>1030</v>
      </c>
      <c r="D244" t="s">
        <v>1030</v>
      </c>
      <c r="E244" t="s">
        <v>1247</v>
      </c>
    </row>
    <row r="245" spans="1:5">
      <c r="A245" t="s">
        <v>1367</v>
      </c>
      <c r="B245" t="s">
        <v>1238</v>
      </c>
      <c r="C245" t="s">
        <v>47</v>
      </c>
      <c r="D245" t="s">
        <v>47</v>
      </c>
      <c r="E245" t="s">
        <v>1247</v>
      </c>
    </row>
    <row r="246" spans="1:5">
      <c r="A246" t="s">
        <v>1367</v>
      </c>
      <c r="B246" t="s">
        <v>1238</v>
      </c>
      <c r="C246" t="s">
        <v>880</v>
      </c>
      <c r="D246" t="s">
        <v>880</v>
      </c>
      <c r="E246" t="s">
        <v>1240</v>
      </c>
    </row>
    <row r="247" spans="1:5">
      <c r="A247" t="s">
        <v>1367</v>
      </c>
      <c r="B247" t="s">
        <v>1238</v>
      </c>
      <c r="C247" t="s">
        <v>885</v>
      </c>
      <c r="D247" t="s">
        <v>885</v>
      </c>
      <c r="E247" t="s">
        <v>1240</v>
      </c>
    </row>
    <row r="248" spans="1:5">
      <c r="A248" t="s">
        <v>1367</v>
      </c>
      <c r="B248" t="s">
        <v>1238</v>
      </c>
      <c r="C248" t="s">
        <v>1018</v>
      </c>
      <c r="D248" t="s">
        <v>1018</v>
      </c>
      <c r="E248" t="s">
        <v>1247</v>
      </c>
    </row>
    <row r="249" spans="1:5">
      <c r="A249" t="s">
        <v>1367</v>
      </c>
      <c r="B249" t="s">
        <v>1238</v>
      </c>
      <c r="C249" t="s">
        <v>1031</v>
      </c>
      <c r="D249" t="s">
        <v>1031</v>
      </c>
      <c r="E249" t="s">
        <v>1247</v>
      </c>
    </row>
    <row r="250" spans="1:5">
      <c r="A250" t="s">
        <v>1368</v>
      </c>
      <c r="B250" t="s">
        <v>1238</v>
      </c>
      <c r="C250" t="s">
        <v>1022</v>
      </c>
      <c r="D250" t="s">
        <v>1022</v>
      </c>
      <c r="E250" t="s">
        <v>1247</v>
      </c>
    </row>
    <row r="251" spans="1:5">
      <c r="A251" t="s">
        <v>1368</v>
      </c>
      <c r="B251" t="s">
        <v>1238</v>
      </c>
      <c r="C251" t="s">
        <v>1021</v>
      </c>
      <c r="D251" t="s">
        <v>1021</v>
      </c>
      <c r="E251" t="s">
        <v>1247</v>
      </c>
    </row>
    <row r="252" spans="1:5">
      <c r="A252" t="s">
        <v>1368</v>
      </c>
      <c r="B252" t="s">
        <v>1238</v>
      </c>
      <c r="C252" t="s">
        <v>1026</v>
      </c>
      <c r="D252" t="s">
        <v>1026</v>
      </c>
      <c r="E252" t="s">
        <v>1247</v>
      </c>
    </row>
    <row r="253" spans="1:5">
      <c r="A253" t="s">
        <v>1368</v>
      </c>
      <c r="B253" t="s">
        <v>1238</v>
      </c>
      <c r="C253" t="s">
        <v>1027</v>
      </c>
      <c r="D253" t="s">
        <v>1027</v>
      </c>
      <c r="E253" t="s">
        <v>1240</v>
      </c>
    </row>
    <row r="254" spans="1:5">
      <c r="A254" t="s">
        <v>1368</v>
      </c>
      <c r="B254" t="s">
        <v>1238</v>
      </c>
      <c r="C254" t="s">
        <v>1041</v>
      </c>
      <c r="D254" t="s">
        <v>1041</v>
      </c>
      <c r="E254" t="s">
        <v>1281</v>
      </c>
    </row>
    <row r="255" spans="1:5">
      <c r="A255" t="s">
        <v>1368</v>
      </c>
      <c r="B255" t="s">
        <v>1238</v>
      </c>
      <c r="C255" t="s">
        <v>1042</v>
      </c>
      <c r="D255" t="s">
        <v>1042</v>
      </c>
      <c r="E255" t="s">
        <v>1281</v>
      </c>
    </row>
    <row r="256" spans="1:5">
      <c r="A256" t="s">
        <v>1368</v>
      </c>
      <c r="B256" t="s">
        <v>1238</v>
      </c>
      <c r="C256" t="s">
        <v>924</v>
      </c>
      <c r="D256" t="s">
        <v>924</v>
      </c>
      <c r="E256" t="s">
        <v>1240</v>
      </c>
    </row>
    <row r="257" spans="1:5">
      <c r="A257" t="s">
        <v>1368</v>
      </c>
      <c r="B257" t="s">
        <v>1238</v>
      </c>
      <c r="C257" t="s">
        <v>1043</v>
      </c>
      <c r="D257" t="s">
        <v>1043</v>
      </c>
      <c r="E257" t="s">
        <v>1247</v>
      </c>
    </row>
    <row r="258" spans="1:5">
      <c r="A258" t="s">
        <v>1368</v>
      </c>
      <c r="B258" t="s">
        <v>1238</v>
      </c>
      <c r="C258" t="s">
        <v>47</v>
      </c>
      <c r="D258" t="s">
        <v>47</v>
      </c>
      <c r="E258" t="s">
        <v>1247</v>
      </c>
    </row>
    <row r="259" spans="1:5">
      <c r="A259" t="s">
        <v>1369</v>
      </c>
      <c r="B259" t="s">
        <v>1238</v>
      </c>
      <c r="C259" t="s">
        <v>1022</v>
      </c>
      <c r="D259" t="s">
        <v>1022</v>
      </c>
      <c r="E259" t="s">
        <v>1247</v>
      </c>
    </row>
    <row r="260" spans="1:5">
      <c r="A260" t="s">
        <v>1369</v>
      </c>
      <c r="B260" t="s">
        <v>1238</v>
      </c>
      <c r="C260" t="s">
        <v>1021</v>
      </c>
      <c r="D260" t="s">
        <v>1021</v>
      </c>
      <c r="E260" t="s">
        <v>1247</v>
      </c>
    </row>
    <row r="261" spans="1:5">
      <c r="A261" t="s">
        <v>1369</v>
      </c>
      <c r="B261" t="s">
        <v>1238</v>
      </c>
      <c r="C261" t="s">
        <v>1026</v>
      </c>
      <c r="D261" t="s">
        <v>1026</v>
      </c>
      <c r="E261" t="s">
        <v>1247</v>
      </c>
    </row>
    <row r="262" spans="1:5">
      <c r="A262" t="s">
        <v>1369</v>
      </c>
      <c r="B262" t="s">
        <v>1238</v>
      </c>
      <c r="C262" t="s">
        <v>1027</v>
      </c>
      <c r="D262" t="s">
        <v>1027</v>
      </c>
      <c r="E262" t="s">
        <v>1240</v>
      </c>
    </row>
    <row r="263" spans="1:5">
      <c r="A263" t="s">
        <v>1369</v>
      </c>
      <c r="B263" t="s">
        <v>1238</v>
      </c>
      <c r="C263" t="s">
        <v>1041</v>
      </c>
      <c r="D263" t="s">
        <v>1041</v>
      </c>
      <c r="E263" t="s">
        <v>1281</v>
      </c>
    </row>
    <row r="264" spans="1:5">
      <c r="A264" t="s">
        <v>1369</v>
      </c>
      <c r="B264" t="s">
        <v>1238</v>
      </c>
      <c r="C264" t="s">
        <v>1042</v>
      </c>
      <c r="D264" t="s">
        <v>1042</v>
      </c>
      <c r="E264" t="s">
        <v>1281</v>
      </c>
    </row>
    <row r="265" spans="1:5">
      <c r="A265" t="s">
        <v>1369</v>
      </c>
      <c r="B265" t="s">
        <v>1238</v>
      </c>
      <c r="C265" t="s">
        <v>924</v>
      </c>
      <c r="D265" t="s">
        <v>924</v>
      </c>
      <c r="E265" t="s">
        <v>1240</v>
      </c>
    </row>
    <row r="266" spans="1:5">
      <c r="A266" t="s">
        <v>1369</v>
      </c>
      <c r="B266" t="s">
        <v>1238</v>
      </c>
      <c r="C266" t="s">
        <v>1043</v>
      </c>
      <c r="D266" t="s">
        <v>1043</v>
      </c>
      <c r="E266" t="s">
        <v>1247</v>
      </c>
    </row>
    <row r="267" spans="1:5">
      <c r="A267" t="s">
        <v>1369</v>
      </c>
      <c r="B267" t="s">
        <v>1238</v>
      </c>
      <c r="C267" t="s">
        <v>47</v>
      </c>
      <c r="D267" t="s">
        <v>47</v>
      </c>
      <c r="E267" t="s">
        <v>1247</v>
      </c>
    </row>
    <row r="268" spans="1:5">
      <c r="A268" t="s">
        <v>1370</v>
      </c>
      <c r="B268" t="s">
        <v>1238</v>
      </c>
      <c r="C268" t="s">
        <v>1045</v>
      </c>
      <c r="D268" t="s">
        <v>1045</v>
      </c>
      <c r="E268" t="s">
        <v>1247</v>
      </c>
    </row>
    <row r="269" spans="1:5">
      <c r="A269" t="s">
        <v>1370</v>
      </c>
      <c r="B269" t="s">
        <v>1238</v>
      </c>
      <c r="C269" t="s">
        <v>1046</v>
      </c>
      <c r="D269" t="s">
        <v>1046</v>
      </c>
      <c r="E269" t="s">
        <v>1247</v>
      </c>
    </row>
    <row r="270" spans="1:5">
      <c r="A270" t="s">
        <v>1370</v>
      </c>
      <c r="B270" t="s">
        <v>1238</v>
      </c>
      <c r="C270" t="s">
        <v>911</v>
      </c>
      <c r="D270" t="s">
        <v>911</v>
      </c>
      <c r="E270" t="s">
        <v>1247</v>
      </c>
    </row>
    <row r="271" spans="1:5">
      <c r="A271" t="s">
        <v>1370</v>
      </c>
      <c r="B271" t="s">
        <v>1238</v>
      </c>
      <c r="C271" t="s">
        <v>1047</v>
      </c>
      <c r="D271" t="s">
        <v>1047</v>
      </c>
      <c r="E271" t="s">
        <v>1247</v>
      </c>
    </row>
    <row r="272" spans="1:5">
      <c r="A272" t="s">
        <v>1370</v>
      </c>
      <c r="B272" t="s">
        <v>1238</v>
      </c>
      <c r="C272" t="s">
        <v>1048</v>
      </c>
      <c r="D272" t="s">
        <v>1048</v>
      </c>
      <c r="E272" t="s">
        <v>1247</v>
      </c>
    </row>
    <row r="273" spans="1:5">
      <c r="A273" t="s">
        <v>1370</v>
      </c>
      <c r="B273" t="s">
        <v>1238</v>
      </c>
      <c r="C273" t="s">
        <v>880</v>
      </c>
      <c r="D273" t="s">
        <v>880</v>
      </c>
      <c r="E273" t="s">
        <v>1240</v>
      </c>
    </row>
    <row r="274" spans="1:5">
      <c r="A274" t="s">
        <v>1370</v>
      </c>
      <c r="B274" t="s">
        <v>1238</v>
      </c>
      <c r="C274" t="s">
        <v>1006</v>
      </c>
      <c r="D274" t="s">
        <v>1006</v>
      </c>
      <c r="E274" t="s">
        <v>1240</v>
      </c>
    </row>
    <row r="275" spans="1:5">
      <c r="A275" t="s">
        <v>1370</v>
      </c>
      <c r="B275" t="s">
        <v>1238</v>
      </c>
      <c r="C275" t="s">
        <v>1007</v>
      </c>
      <c r="D275" t="s">
        <v>1007</v>
      </c>
      <c r="E275" t="s">
        <v>1247</v>
      </c>
    </row>
    <row r="276" spans="1:5">
      <c r="A276" t="s">
        <v>1370</v>
      </c>
      <c r="B276" t="s">
        <v>1238</v>
      </c>
      <c r="C276" t="s">
        <v>1016</v>
      </c>
      <c r="D276" t="s">
        <v>1016</v>
      </c>
      <c r="E276" t="s">
        <v>1247</v>
      </c>
    </row>
    <row r="277" spans="1:5">
      <c r="A277" t="s">
        <v>1370</v>
      </c>
      <c r="B277" t="s">
        <v>1238</v>
      </c>
      <c r="C277" t="s">
        <v>884</v>
      </c>
      <c r="D277" t="s">
        <v>884</v>
      </c>
      <c r="E277" t="s">
        <v>1247</v>
      </c>
    </row>
    <row r="278" spans="1:5">
      <c r="A278" t="s">
        <v>1370</v>
      </c>
      <c r="B278" t="s">
        <v>1238</v>
      </c>
      <c r="C278" t="s">
        <v>885</v>
      </c>
      <c r="D278" t="s">
        <v>885</v>
      </c>
      <c r="E278" t="s">
        <v>1240</v>
      </c>
    </row>
    <row r="279" spans="1:5">
      <c r="A279" t="s">
        <v>1370</v>
      </c>
      <c r="B279" t="s">
        <v>1238</v>
      </c>
      <c r="C279" t="s">
        <v>1049</v>
      </c>
      <c r="D279" t="s">
        <v>1049</v>
      </c>
      <c r="E279" t="s">
        <v>1247</v>
      </c>
    </row>
    <row r="280" spans="1:5">
      <c r="A280" t="s">
        <v>1370</v>
      </c>
      <c r="B280" t="s">
        <v>1238</v>
      </c>
      <c r="C280" t="s">
        <v>1010</v>
      </c>
      <c r="D280" t="s">
        <v>1010</v>
      </c>
      <c r="E280" t="s">
        <v>1247</v>
      </c>
    </row>
    <row r="281" spans="1:5">
      <c r="A281" t="s">
        <v>1370</v>
      </c>
      <c r="B281" t="s">
        <v>1238</v>
      </c>
      <c r="C281" t="s">
        <v>888</v>
      </c>
      <c r="D281" t="s">
        <v>888</v>
      </c>
      <c r="E281" t="s">
        <v>1247</v>
      </c>
    </row>
    <row r="282" spans="1:5">
      <c r="A282" t="s">
        <v>1370</v>
      </c>
      <c r="B282" t="s">
        <v>1238</v>
      </c>
      <c r="C282" t="s">
        <v>1050</v>
      </c>
      <c r="D282" t="s">
        <v>1050</v>
      </c>
      <c r="E282" t="s">
        <v>1247</v>
      </c>
    </row>
    <row r="283" spans="1:5">
      <c r="A283" t="s">
        <v>1370</v>
      </c>
      <c r="B283" t="s">
        <v>1238</v>
      </c>
      <c r="C283" t="s">
        <v>1051</v>
      </c>
      <c r="D283" t="s">
        <v>1051</v>
      </c>
      <c r="E283" t="s">
        <v>1247</v>
      </c>
    </row>
    <row r="284" spans="1:5">
      <c r="A284" t="s">
        <v>1370</v>
      </c>
      <c r="B284" t="s">
        <v>1238</v>
      </c>
      <c r="C284" t="s">
        <v>1052</v>
      </c>
      <c r="D284" t="s">
        <v>1052</v>
      </c>
      <c r="E284" t="s">
        <v>1247</v>
      </c>
    </row>
    <row r="285" spans="1:5">
      <c r="A285" t="s">
        <v>1370</v>
      </c>
      <c r="B285" t="s">
        <v>1238</v>
      </c>
      <c r="C285" t="s">
        <v>889</v>
      </c>
      <c r="D285" t="s">
        <v>889</v>
      </c>
      <c r="E285" t="s">
        <v>1247</v>
      </c>
    </row>
    <row r="286" spans="1:5">
      <c r="A286" t="s">
        <v>1370</v>
      </c>
      <c r="B286" t="s">
        <v>1238</v>
      </c>
      <c r="C286" t="s">
        <v>890</v>
      </c>
      <c r="D286" t="s">
        <v>890</v>
      </c>
      <c r="E286" t="s">
        <v>1247</v>
      </c>
    </row>
    <row r="287" spans="1:5">
      <c r="A287" t="s">
        <v>1370</v>
      </c>
      <c r="B287" t="s">
        <v>1238</v>
      </c>
      <c r="C287" t="s">
        <v>1053</v>
      </c>
      <c r="D287" t="s">
        <v>1053</v>
      </c>
      <c r="E287" t="s">
        <v>1247</v>
      </c>
    </row>
    <row r="288" spans="1:5">
      <c r="A288" t="s">
        <v>1370</v>
      </c>
      <c r="B288" t="s">
        <v>1238</v>
      </c>
      <c r="C288" t="s">
        <v>1054</v>
      </c>
      <c r="D288" t="s">
        <v>1054</v>
      </c>
      <c r="E288" t="s">
        <v>1247</v>
      </c>
    </row>
    <row r="289" spans="1:7">
      <c r="A289" t="s">
        <v>1370</v>
      </c>
      <c r="B289" t="s">
        <v>1238</v>
      </c>
      <c r="C289" t="s">
        <v>1055</v>
      </c>
      <c r="D289" t="s">
        <v>1055</v>
      </c>
      <c r="E289" t="s">
        <v>1247</v>
      </c>
    </row>
    <row r="290" spans="1:7">
      <c r="A290" t="s">
        <v>1370</v>
      </c>
      <c r="B290" t="s">
        <v>1238</v>
      </c>
      <c r="C290" t="s">
        <v>892</v>
      </c>
      <c r="D290" t="s">
        <v>892</v>
      </c>
      <c r="E290" t="s">
        <v>1247</v>
      </c>
    </row>
    <row r="291" spans="1:7">
      <c r="A291" t="s">
        <v>1370</v>
      </c>
      <c r="B291" t="s">
        <v>1238</v>
      </c>
      <c r="C291" t="s">
        <v>1056</v>
      </c>
      <c r="D291" t="s">
        <v>1056</v>
      </c>
      <c r="E291" t="s">
        <v>1247</v>
      </c>
    </row>
    <row r="292" spans="1:7">
      <c r="A292" t="s">
        <v>1370</v>
      </c>
      <c r="B292" t="s">
        <v>1238</v>
      </c>
      <c r="C292" t="s">
        <v>1018</v>
      </c>
      <c r="D292" t="s">
        <v>1018</v>
      </c>
      <c r="E292" t="s">
        <v>1247</v>
      </c>
    </row>
    <row r="293" spans="1:7">
      <c r="A293" t="s">
        <v>1370</v>
      </c>
      <c r="B293" t="s">
        <v>1238</v>
      </c>
      <c r="C293" t="s">
        <v>1057</v>
      </c>
      <c r="D293" t="s">
        <v>1057</v>
      </c>
      <c r="E293" t="s">
        <v>1247</v>
      </c>
    </row>
    <row r="294" spans="1:7">
      <c r="A294" t="s">
        <v>1370</v>
      </c>
      <c r="B294" t="s">
        <v>1238</v>
      </c>
      <c r="C294" t="s">
        <v>1058</v>
      </c>
      <c r="D294" t="s">
        <v>1058</v>
      </c>
      <c r="E294" t="s">
        <v>1247</v>
      </c>
    </row>
    <row r="295" spans="1:7">
      <c r="A295" t="s">
        <v>1370</v>
      </c>
      <c r="B295" t="s">
        <v>1238</v>
      </c>
      <c r="C295" t="s">
        <v>1059</v>
      </c>
      <c r="D295" t="s">
        <v>1059</v>
      </c>
      <c r="E295" t="s">
        <v>1247</v>
      </c>
    </row>
    <row r="296" spans="1:7">
      <c r="A296" t="s">
        <v>1370</v>
      </c>
      <c r="B296" t="s">
        <v>1238</v>
      </c>
      <c r="C296" t="s">
        <v>1060</v>
      </c>
      <c r="D296" t="s">
        <v>1060</v>
      </c>
      <c r="E296" t="s">
        <v>1247</v>
      </c>
    </row>
    <row r="297" spans="1:7">
      <c r="A297" t="s">
        <v>1370</v>
      </c>
      <c r="B297" t="s">
        <v>1238</v>
      </c>
      <c r="C297" t="s">
        <v>1061</v>
      </c>
      <c r="D297" t="s">
        <v>1061</v>
      </c>
      <c r="E297" t="s">
        <v>1247</v>
      </c>
    </row>
    <row r="298" spans="1:7">
      <c r="A298" t="s">
        <v>1370</v>
      </c>
      <c r="B298" t="s">
        <v>1238</v>
      </c>
      <c r="C298" t="s">
        <v>1062</v>
      </c>
      <c r="D298" t="s">
        <v>1062</v>
      </c>
      <c r="E298" t="s">
        <v>1247</v>
      </c>
      <c r="G298" t="s">
        <v>1339</v>
      </c>
    </row>
    <row r="299" spans="1:7">
      <c r="A299" t="s">
        <v>1370</v>
      </c>
      <c r="B299" t="s">
        <v>1238</v>
      </c>
      <c r="C299" t="s">
        <v>1063</v>
      </c>
      <c r="D299" t="s">
        <v>1063</v>
      </c>
      <c r="E299" t="s">
        <v>1247</v>
      </c>
    </row>
    <row r="300" spans="1:7">
      <c r="A300" t="s">
        <v>1370</v>
      </c>
      <c r="B300" t="s">
        <v>1238</v>
      </c>
      <c r="C300" t="s">
        <v>918</v>
      </c>
      <c r="D300" t="s">
        <v>918</v>
      </c>
      <c r="E300" t="s">
        <v>1247</v>
      </c>
    </row>
    <row r="301" spans="1:7">
      <c r="A301" t="s">
        <v>1370</v>
      </c>
      <c r="B301" t="s">
        <v>1238</v>
      </c>
      <c r="C301" t="s">
        <v>922</v>
      </c>
      <c r="D301" t="s">
        <v>922</v>
      </c>
      <c r="E301" t="s">
        <v>1247</v>
      </c>
    </row>
    <row r="302" spans="1:7">
      <c r="A302" t="s">
        <v>1370</v>
      </c>
      <c r="B302" t="s">
        <v>1238</v>
      </c>
      <c r="C302" t="s">
        <v>1064</v>
      </c>
      <c r="D302" t="s">
        <v>1064</v>
      </c>
      <c r="E302" t="s">
        <v>1247</v>
      </c>
      <c r="G302" t="s">
        <v>1348</v>
      </c>
    </row>
    <row r="303" spans="1:7">
      <c r="A303" t="s">
        <v>1370</v>
      </c>
      <c r="B303" t="s">
        <v>1238</v>
      </c>
      <c r="C303" t="s">
        <v>1065</v>
      </c>
      <c r="D303" t="s">
        <v>1065</v>
      </c>
      <c r="E303" t="s">
        <v>1247</v>
      </c>
    </row>
    <row r="304" spans="1:7">
      <c r="A304" t="s">
        <v>1370</v>
      </c>
      <c r="B304" t="s">
        <v>1238</v>
      </c>
      <c r="C304" t="s">
        <v>47</v>
      </c>
      <c r="D304" t="s">
        <v>47</v>
      </c>
      <c r="E304" t="s">
        <v>1247</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26</vt:i4>
      </vt:variant>
    </vt:vector>
  </HeadingPairs>
  <TitlesOfParts>
    <vt:vector size="26" baseType="lpstr">
      <vt:lpstr>使用说明</vt:lpstr>
      <vt:lpstr>客商台账</vt:lpstr>
      <vt:lpstr>计划台账</vt:lpstr>
      <vt:lpstr>合同台账</vt:lpstr>
      <vt:lpstr>客商</vt:lpstr>
      <vt:lpstr>公司管理</vt:lpstr>
      <vt:lpstr>资金账户</vt:lpstr>
      <vt:lpstr>合同类型</vt:lpstr>
      <vt:lpstr>采购计划</vt:lpstr>
      <vt:lpstr>商品</vt:lpstr>
      <vt:lpstr>采购订单</vt:lpstr>
      <vt:lpstr>销售订单</vt:lpstr>
      <vt:lpstr>进项发票</vt:lpstr>
      <vt:lpstr>销项发票</vt:lpstr>
      <vt:lpstr>付款单</vt:lpstr>
      <vt:lpstr>收款单</vt:lpstr>
      <vt:lpstr>入仓单</vt:lpstr>
      <vt:lpstr>发票</vt:lpstr>
      <vt:lpstr>采购合同</vt:lpstr>
      <vt:lpstr>销售HT</vt:lpstr>
      <vt:lpstr>报关物料</vt:lpstr>
      <vt:lpstr>项目</vt:lpstr>
      <vt:lpstr>HSCode库</vt:lpstr>
      <vt:lpstr>汇率库</vt:lpstr>
      <vt:lpstr>导入结果</vt:lpstr>
      <vt:lpstr>字段库</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吴柱臻</cp:lastModifiedBy>
  <dcterms:created xsi:type="dcterms:W3CDTF">2026-10-02T12:27:00Z</dcterms:created>
  <dcterms:modified xsi:type="dcterms:W3CDTF">2026-10-21T03:48:21Z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B46A84DD74454F30BFE2C762FBA637DA</vt:lpwstr>
  </property>
  <property fmtid="{D5CDD505-2E9C-101B-9397-08002B2CF9AE}" pid="3" name="KSOProductBuildVer">
    <vt:lpwstr>2052-12.1.0.26899</vt:lpwstr>
  </property>
  <property fmtid="{D5CDD505-2E9C-101B-9397-08002B2CF9AE}" pid="4" name="KSOReadingLayout">
    <vt:bool>false</vt:bool>
  </property>
  <property fmtid="{D5CDD505-2E9C-101B-9397-08002B2CF9AE}" pid="5" name="CalculationRule">
    <vt:i4>0</vt:i4>
  </property>
</Properties>
</file>