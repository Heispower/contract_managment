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omments/comment2.xml" ContentType="application/vnd.openxmlformats-officedocument.spreadsheetml.comments+xml"/>
  <Override PartName="/xl/worksheets/sheet6.xml" ContentType="application/vnd.openxmlformats-officedocument.spreadsheetml.worksheet+xml"/>
  <Override PartName="/xl/comments/comment3.xml" ContentType="application/vnd.openxmlformats-officedocument.spreadsheetml.comments+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comments/comment9.xml" ContentType="application/vnd.openxmlformats-officedocument.spreadsheetml.comments+xml"/>
  <Override PartName="/xl/worksheets/sheet13.xml" ContentType="application/vnd.openxmlformats-officedocument.spreadsheetml.worksheet+xml"/>
  <Override PartName="/xl/comments/comment10.xml" ContentType="application/vnd.openxmlformats-officedocument.spreadsheetml.comments+xml"/>
  <Override PartName="/xl/worksheets/sheet14.xml" ContentType="application/vnd.openxmlformats-officedocument.spreadsheetml.worksheet+xml"/>
  <Override PartName="/xl/comments/comment11.xml" ContentType="application/vnd.openxmlformats-officedocument.spreadsheetml.comments+xml"/>
  <Override PartName="/xl/worksheets/sheet15.xml" ContentType="application/vnd.openxmlformats-officedocument.spreadsheetml.worksheet+xml"/>
  <Override PartName="/xl/comments/comment12.xml" ContentType="application/vnd.openxmlformats-officedocument.spreadsheetml.comments+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windowWidth="27945" windowHeight="12375" tabRatio="686" firstSheet="0" activeTab="3" autoFilterDateGrouping="1"/>
  </bookViews>
  <sheets>
    <sheet xmlns:r="http://schemas.openxmlformats.org/officeDocument/2006/relationships" name="使用说明" sheetId="1" state="visible" r:id="rId1"/>
    <sheet xmlns:r="http://schemas.openxmlformats.org/officeDocument/2006/relationships" name="客商台账" sheetId="2" state="visible" r:id="rId2"/>
    <sheet xmlns:r="http://schemas.openxmlformats.org/officeDocument/2006/relationships" name="计划台账" sheetId="3" state="visible" r:id="rId3"/>
    <sheet xmlns:r="http://schemas.openxmlformats.org/officeDocument/2006/relationships" name="合同台账" sheetId="4" state="visible" r:id="rId4"/>
    <sheet xmlns:r="http://schemas.openxmlformats.org/officeDocument/2006/relationships" name="客商" sheetId="5" state="visible" r:id="rId5"/>
    <sheet xmlns:r="http://schemas.openxmlformats.org/officeDocument/2006/relationships" name="公司管理" sheetId="6" state="hidden" r:id="rId6"/>
    <sheet xmlns:r="http://schemas.openxmlformats.org/officeDocument/2006/relationships" name="资金账户" sheetId="7" state="hidden" r:id="rId7"/>
    <sheet xmlns:r="http://schemas.openxmlformats.org/officeDocument/2006/relationships" name="合同类型" sheetId="8" state="hidden" r:id="rId8"/>
    <sheet xmlns:r="http://schemas.openxmlformats.org/officeDocument/2006/relationships" name="采购计划" sheetId="9" state="visible" r:id="rId9"/>
    <sheet xmlns:r="http://schemas.openxmlformats.org/officeDocument/2006/relationships" name="商品" sheetId="10" state="hidden" r:id="rId10"/>
    <sheet xmlns:r="http://schemas.openxmlformats.org/officeDocument/2006/relationships" name="采购订单" sheetId="11" state="hidden" r:id="rId11"/>
    <sheet xmlns:r="http://schemas.openxmlformats.org/officeDocument/2006/relationships" name="销售订单" sheetId="12" state="hidden" r:id="rId12"/>
    <sheet xmlns:r="http://schemas.openxmlformats.org/officeDocument/2006/relationships" name="进项发票" sheetId="13" state="visible" r:id="rId13"/>
    <sheet xmlns:r="http://schemas.openxmlformats.org/officeDocument/2006/relationships" name="销项发票" sheetId="14" state="hidden" r:id="rId14"/>
    <sheet xmlns:r="http://schemas.openxmlformats.org/officeDocument/2006/relationships" name="付款单" sheetId="15" state="hidden" r:id="rId15"/>
    <sheet xmlns:r="http://schemas.openxmlformats.org/officeDocument/2006/relationships" name="收款单" sheetId="16" state="hidden" r:id="rId16"/>
    <sheet xmlns:r="http://schemas.openxmlformats.org/officeDocument/2006/relationships" name="入仓单" sheetId="17" state="hidden" r:id="rId17"/>
    <sheet xmlns:r="http://schemas.openxmlformats.org/officeDocument/2006/relationships" name="发票" sheetId="18" state="visible" r:id="rId18"/>
    <sheet xmlns:r="http://schemas.openxmlformats.org/officeDocument/2006/relationships" name="采购合同" sheetId="19" state="visible" r:id="rId19"/>
    <sheet xmlns:r="http://schemas.openxmlformats.org/officeDocument/2006/relationships" name="销售HT" sheetId="20" state="visible" r:id="rId20"/>
    <sheet xmlns:r="http://schemas.openxmlformats.org/officeDocument/2006/relationships" name="报关物料" sheetId="21" state="visible" r:id="rId21"/>
    <sheet xmlns:r="http://schemas.openxmlformats.org/officeDocument/2006/relationships" name="项目" sheetId="22" state="visible" r:id="rId22"/>
    <sheet xmlns:r="http://schemas.openxmlformats.org/officeDocument/2006/relationships" name="HSCode库" sheetId="23" state="visible" r:id="rId23"/>
    <sheet xmlns:r="http://schemas.openxmlformats.org/officeDocument/2006/relationships" name="汇率库" sheetId="24" state="visible" r:id="rId24"/>
    <sheet xmlns:r="http://schemas.openxmlformats.org/officeDocument/2006/relationships" name="导入结果" sheetId="25" state="visible" r:id="rId25"/>
    <sheet xmlns:r="http://schemas.openxmlformats.org/officeDocument/2006/relationships" name="字段库" sheetId="26" state="hidden" r:id="rId26"/>
    <sheet xmlns:r="http://schemas.openxmlformats.org/officeDocument/2006/relationships" name="API接口清单" sheetId="27" state="visible" r:id="rId27"/>
    <sheet xmlns:r="http://schemas.openxmlformats.org/officeDocument/2006/relationships" name="字段清单" sheetId="28" state="visible" r:id="rId28"/>
    <sheet xmlns:r="http://schemas.openxmlformats.org/officeDocument/2006/relationships" name="梳理说明" sheetId="29" state="visible" r:id="rId29"/>
  </sheets>
  <definedNames>
    <definedName name="_xlnm._FilterDatabase" localSheetId="1" hidden="1">'客商台账'!$A$1:$X$90</definedName>
    <definedName name="_xlnm._FilterDatabase" localSheetId="4" hidden="1">'客商'!$A$1:$X$7</definedName>
    <definedName name="_xlnm._FilterDatabase" localSheetId="5" hidden="1">'公司管理'!$A$1:$V$1</definedName>
    <definedName name="_xlnm._FilterDatabase" localSheetId="6" hidden="1">'资金账户'!$A$1:$D$1</definedName>
    <definedName name="_xlnm._FilterDatabase" localSheetId="7" hidden="1">'合同类型'!$A$1:$D$1</definedName>
    <definedName name="_xlnm._FilterDatabase" localSheetId="8" hidden="1">'采购计划'!$D$1:$O$60</definedName>
    <definedName name="_xlnm._FilterDatabase" localSheetId="9" hidden="1">'商品'!$A$1:$F$1</definedName>
    <definedName name="_xlnm._FilterDatabase" localSheetId="10" hidden="1">'采购订单'!$A$1:$G$1</definedName>
    <definedName name="_xlnm._FilterDatabase" localSheetId="11" hidden="1">'销售订单'!$A$1:$G$1</definedName>
    <definedName name="_xlnm._FilterDatabase" localSheetId="12" hidden="1">'进项发票'!$A$1:$N$5</definedName>
    <definedName name="_xlnm._FilterDatabase" localSheetId="13" hidden="1">'销项发票'!$A$1:$N$1</definedName>
    <definedName name="_xlnm._FilterDatabase" localSheetId="14" hidden="1">'付款单'!$A$1:$I$1</definedName>
    <definedName name="_xlnm._FilterDatabase" localSheetId="15" hidden="1">'收款单'!$A$1:$I$1</definedName>
    <definedName name="_xlnm._FilterDatabase" localSheetId="16" hidden="1">'入仓单'!$A$1:$AK$1</definedName>
    <definedName name="_xlnm._FilterDatabase" localSheetId="17" hidden="1">'发票'!$A$1:$N$2</definedName>
    <definedName name="_xlnm._FilterDatabase" localSheetId="20" hidden="1">'报关物料'!$A$4:$AH$22</definedName>
    <definedName name="_xlnm._FilterDatabase" localSheetId="21" hidden="1">'项目'!$A$1:$J$1</definedName>
    <definedName name="_xlnm._FilterDatabase" localSheetId="22" hidden="1">'HSCode库'!$A$1:$G$1</definedName>
    <definedName name="_xlnm._FilterDatabase" localSheetId="23" hidden="1">'汇率库'!$A$1:$E$2</definedName>
    <definedName name="_xlnm._FilterDatabase" localSheetId="26" hidden="1">'API接口清单'!$A$1:$M$22</definedName>
    <definedName name="_xlnm._FilterDatabase" localSheetId="27" hidden="1">'字段清单'!$A$1:$I$309</definedName>
    <definedName name="_xlnm._FilterDatabase" localSheetId="28" hidden="1">'梳理说明'!$A$1:$B$17</definedName>
  </definedNames>
  <calcPr calcId="191029" fullCalcOnLoad="1"/>
</workbook>
</file>

<file path=xl/styles.xml><?xml version="1.0" encoding="utf-8"?>
<styleSheet xmlns="http://schemas.openxmlformats.org/spreadsheetml/2006/main">
  <numFmts count="3">
    <numFmt numFmtId="164" formatCode="yyyy\-mm\-dd\ h:mm:ss"/>
    <numFmt numFmtId="165" formatCode="yyyy/m/d;@"/>
    <numFmt numFmtId="166" formatCode="&quot;￥&quot;#,##0.00_);[Red]\(&quot;￥&quot;#,##0.00\)"/>
  </numFmts>
  <fonts count="55">
    <font>
      <name val="宋体"/>
      <charset val="134"/>
      <color theme="1"/>
      <sz val="11"/>
      <scheme val="minor"/>
    </font>
    <font>
      <name val="宋体"/>
      <charset val="134"/>
      <b val="1"/>
      <color rgb="FF1F4E79"/>
      <sz val="11"/>
    </font>
    <font>
      <name val="宋体"/>
      <charset val="134"/>
      <b val="1"/>
      <color rgb="FF9C2F2F"/>
      <sz val="11"/>
    </font>
    <font>
      <name val="宋体"/>
      <charset val="134"/>
      <b val="1"/>
      <color rgb="FFFFFFFF"/>
      <sz val="14"/>
    </font>
    <font>
      <name val="宋体"/>
      <charset val="134"/>
      <b val="1"/>
      <color rgb="FF666666"/>
      <sz val="11"/>
    </font>
    <font>
      <name val="Microsoft YaHei"/>
      <charset val="134"/>
      <sz val="10"/>
    </font>
    <font>
      <name val="等线"/>
      <charset val="134"/>
      <sz val="11"/>
    </font>
    <font>
      <name val="宋体"/>
      <charset val="134"/>
      <color theme="1"/>
      <sz val="14"/>
      <scheme val="minor"/>
    </font>
    <font>
      <name val="宋体"/>
      <charset val="1"/>
      <color indexed="8"/>
      <sz val="11"/>
      <scheme val="minor"/>
    </font>
    <font>
      <name val="宋体"/>
      <charset val="134"/>
      <b val="1"/>
      <color rgb="FFFF0000"/>
      <sz val="48"/>
    </font>
    <font>
      <name val="宋体"/>
      <charset val="134"/>
      <b val="1"/>
      <color rgb="FFFF0000"/>
      <sz val="14"/>
    </font>
    <font>
      <name val="Segoe UI"/>
      <charset val="134"/>
      <color rgb="FF1F2329"/>
      <sz val="9.75"/>
    </font>
    <font>
      <name val="SimSun"/>
      <charset val="134"/>
      <sz val="10"/>
    </font>
    <font>
      <name val="宋体"/>
      <charset val="134"/>
      <b val="1"/>
      <color rgb="FFFFFFFF"/>
      <sz val="14"/>
      <scheme val="minor"/>
    </font>
    <font>
      <name val="宋体"/>
      <charset val="134"/>
      <b val="1"/>
      <color rgb="FF1F4E79"/>
      <sz val="11"/>
      <scheme val="minor"/>
    </font>
    <font>
      <name val="宋体"/>
      <charset val="134"/>
      <b val="1"/>
      <color rgb="FF9C2F2F"/>
      <sz val="11"/>
      <scheme val="minor"/>
    </font>
    <font>
      <name val="Segoe UI"/>
      <charset val="134"/>
      <color rgb="FF86909C"/>
      <sz val="9"/>
    </font>
    <font>
      <name val="SimSun"/>
      <charset val="134"/>
      <color rgb="FFFF0000"/>
      <sz val="10"/>
    </font>
    <font>
      <name val="宋体"/>
      <charset val="134"/>
      <color rgb="FF192338"/>
      <sz val="11"/>
      <scheme val="minor"/>
    </font>
    <font>
      <name val="仿宋_GB2312"/>
      <charset val="134"/>
      <b val="1"/>
      <sz val="10"/>
    </font>
    <font>
      <name val="宋体"/>
      <charset val="134"/>
      <b val="1"/>
      <color theme="1"/>
      <sz val="22"/>
      <scheme val="minor"/>
    </font>
    <font>
      <name val="Segoe UI"/>
      <charset val="134"/>
      <color rgb="FF0D0D0D"/>
      <sz val="10.5"/>
    </font>
    <font>
      <name val="Microsoft YaHei"/>
      <charset val="134"/>
      <sz val="11"/>
    </font>
    <font>
      <name val="Segoe UI"/>
      <charset val="134"/>
      <color rgb="FF0F1115"/>
      <sz val="11.25"/>
    </font>
    <font>
      <name val="宋体"/>
      <charset val="134"/>
      <color rgb="FF0F1115"/>
      <sz val="11.5"/>
    </font>
    <font>
      <name val="宋体"/>
      <charset val="134"/>
      <color rgb="FF4E5969"/>
      <sz val="14"/>
    </font>
    <font>
      <name val="宋体"/>
      <charset val="134"/>
      <color rgb="FF303133"/>
      <sz val="14"/>
    </font>
    <font>
      <name val="Segoe UI"/>
      <charset val="134"/>
      <color rgb="FF303133"/>
      <sz val="14"/>
    </font>
    <font>
      <name val="宋体"/>
      <charset val="134"/>
      <color theme="1"/>
      <sz val="14"/>
    </font>
    <font>
      <name val="微软雅黑"/>
      <charset val="134"/>
      <b val="1"/>
      <color indexed="8"/>
      <sz val="10"/>
    </font>
    <font>
      <name val="仿宋_GB2312"/>
      <charset val="134"/>
      <color theme="1"/>
      <sz val="10"/>
    </font>
    <font>
      <name val="宋体"/>
      <charset val="134"/>
      <b val="1"/>
      <color rgb="FF333333"/>
      <sz val="8.25"/>
    </font>
    <font>
      <name val="宋体"/>
      <charset val="134"/>
      <b val="1"/>
      <color rgb="FF1F4E79"/>
      <sz val="18"/>
    </font>
    <font>
      <name val="宋体"/>
      <charset val="134"/>
      <color rgb="FF0000FF"/>
      <sz val="11"/>
      <u val="single"/>
      <scheme val="minor"/>
    </font>
    <font>
      <name val="宋体"/>
      <charset val="0"/>
      <color rgb="FF800080"/>
      <sz val="11"/>
      <u val="single"/>
      <scheme val="minor"/>
    </font>
    <font>
      <name val="宋体"/>
      <charset val="0"/>
      <color rgb="FFFF0000"/>
      <sz val="11"/>
      <scheme val="minor"/>
    </font>
    <font>
      <name val="宋体"/>
      <charset val="134"/>
      <b val="1"/>
      <color theme="3"/>
      <sz val="18"/>
      <scheme val="minor"/>
    </font>
    <font>
      <name val="宋体"/>
      <charset val="0"/>
      <i val="1"/>
      <color rgb="FF7F7F7F"/>
      <sz val="11"/>
      <scheme val="minor"/>
    </font>
    <font>
      <name val="宋体"/>
      <charset val="134"/>
      <b val="1"/>
      <color theme="3"/>
      <sz val="15"/>
      <scheme val="minor"/>
    </font>
    <font>
      <name val="宋体"/>
      <charset val="134"/>
      <b val="1"/>
      <color theme="3"/>
      <sz val="13"/>
      <scheme val="minor"/>
    </font>
    <font>
      <name val="宋体"/>
      <charset val="134"/>
      <b val="1"/>
      <color theme="3"/>
      <sz val="11"/>
      <scheme val="minor"/>
    </font>
    <font>
      <name val="宋体"/>
      <charset val="0"/>
      <color rgb="FF3F3F76"/>
      <sz val="11"/>
      <scheme val="minor"/>
    </font>
    <font>
      <name val="宋体"/>
      <charset val="0"/>
      <b val="1"/>
      <color rgb="FF3F3F3F"/>
      <sz val="11"/>
      <scheme val="minor"/>
    </font>
    <font>
      <name val="宋体"/>
      <charset val="0"/>
      <b val="1"/>
      <color rgb="FFFA7D00"/>
      <sz val="11"/>
      <scheme val="minor"/>
    </font>
    <font>
      <name val="宋体"/>
      <charset val="0"/>
      <b val="1"/>
      <color rgb="FFFFFFFF"/>
      <sz val="11"/>
      <scheme val="minor"/>
    </font>
    <font>
      <name val="宋体"/>
      <charset val="0"/>
      <color rgb="FFFA7D00"/>
      <sz val="11"/>
      <scheme val="minor"/>
    </font>
    <font>
      <name val="宋体"/>
      <charset val="0"/>
      <b val="1"/>
      <color theme="1"/>
      <sz val="11"/>
      <scheme val="minor"/>
    </font>
    <font>
      <name val="宋体"/>
      <charset val="0"/>
      <color rgb="FF006100"/>
      <sz val="11"/>
      <scheme val="minor"/>
    </font>
    <font>
      <name val="宋体"/>
      <charset val="0"/>
      <color rgb="FF9C0006"/>
      <sz val="11"/>
      <scheme val="minor"/>
    </font>
    <font>
      <name val="宋体"/>
      <charset val="0"/>
      <color rgb="FF9C6500"/>
      <sz val="11"/>
      <scheme val="minor"/>
    </font>
    <font>
      <name val="宋体"/>
      <charset val="0"/>
      <color theme="0"/>
      <sz val="11"/>
      <scheme val="minor"/>
    </font>
    <font>
      <name val="宋体"/>
      <charset val="0"/>
      <color theme="1"/>
      <sz val="11"/>
      <scheme val="minor"/>
    </font>
    <font>
      <name val="宋体"/>
      <charset val="134"/>
      <sz val="12"/>
    </font>
    <font>
      <name val="宋体"/>
      <charset val="134"/>
      <sz val="10"/>
    </font>
    <font>
      <b val="1"/>
      <color rgb="00FFFFFF"/>
      <sz val="11"/>
    </font>
  </fonts>
  <fills count="41">
    <fill>
      <patternFill/>
    </fill>
    <fill>
      <patternFill patternType="gray125"/>
    </fill>
    <fill>
      <patternFill patternType="solid">
        <fgColor rgb="FFD6E3F0"/>
        <bgColor indexed="64"/>
      </patternFill>
    </fill>
    <fill>
      <patternFill patternType="solid">
        <fgColor rgb="FFFDE9E9"/>
        <bgColor indexed="64"/>
      </patternFill>
    </fill>
    <fill>
      <patternFill patternType="solid">
        <fgColor rgb="FF1F4E79"/>
        <bgColor indexed="64"/>
      </patternFill>
    </fill>
    <fill>
      <patternFill patternType="solid">
        <fgColor rgb="FFF2F2F2"/>
        <bgColor indexed="64"/>
      </patternFill>
    </fill>
    <fill>
      <patternFill patternType="solid">
        <fgColor indexed="65"/>
        <bgColor indexed="64"/>
      </patternFill>
    </fill>
    <fill>
      <patternFill patternType="solid">
        <fgColor rgb="FFFFFF00"/>
        <bgColor indexed="64"/>
      </patternFill>
    </fill>
    <fill>
      <patternFill patternType="solid">
        <fgColor theme="0"/>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001F4E78"/>
      </patternFill>
    </fill>
  </fills>
  <borders count="14">
    <border>
      <left/>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top style="thin">
        <color rgb="FFF8F8FA"/>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00D9E2F3"/>
      </left>
      <right style="thin">
        <color rgb="00D9E2F3"/>
      </right>
      <top style="thin">
        <color rgb="00D9E2F3"/>
      </top>
      <bottom style="thin">
        <color rgb="00D9E2F3"/>
      </bottom>
    </border>
  </borders>
  <cellStyleXfs count="50">
    <xf numFmtId="0" fontId="0" fillId="0" borderId="0"/>
    <xf numFmtId="43" fontId="0" fillId="0" borderId="0" applyAlignment="1">
      <alignment vertical="center"/>
    </xf>
    <xf numFmtId="44" fontId="0" fillId="0" borderId="0" applyAlignment="1">
      <alignment vertical="center"/>
    </xf>
    <xf numFmtId="9" fontId="0" fillId="0" borderId="0" applyAlignment="1">
      <alignment vertical="center"/>
    </xf>
    <xf numFmtId="41" fontId="0" fillId="0" borderId="0" applyAlignment="1">
      <alignment vertical="center"/>
    </xf>
    <xf numFmtId="42" fontId="0" fillId="0" borderId="0" applyAlignment="1">
      <alignment vertical="center"/>
    </xf>
    <xf numFmtId="0" fontId="33" fillId="0" borderId="0" applyAlignment="1">
      <alignment vertical="center"/>
    </xf>
    <xf numFmtId="0" fontId="34" fillId="0" borderId="0" applyAlignment="1">
      <alignment vertical="center"/>
    </xf>
    <xf numFmtId="0" fontId="0" fillId="10" borderId="5" applyAlignment="1">
      <alignment vertical="center"/>
    </xf>
    <xf numFmtId="0" fontId="35" fillId="0" borderId="0" applyAlignment="1">
      <alignment vertical="center"/>
    </xf>
    <xf numFmtId="0" fontId="36" fillId="0" borderId="0" applyAlignment="1">
      <alignment vertical="center"/>
    </xf>
    <xf numFmtId="0" fontId="37" fillId="0" borderId="0" applyAlignment="1">
      <alignment vertical="center"/>
    </xf>
    <xf numFmtId="0" fontId="38" fillId="0" borderId="6" applyAlignment="1">
      <alignment vertical="center"/>
    </xf>
    <xf numFmtId="0" fontId="39" fillId="0" borderId="6" applyAlignment="1">
      <alignment vertical="center"/>
    </xf>
    <xf numFmtId="0" fontId="40" fillId="0" borderId="7" applyAlignment="1">
      <alignment vertical="center"/>
    </xf>
    <xf numFmtId="0" fontId="40" fillId="0" borderId="0" applyAlignment="1">
      <alignment vertical="center"/>
    </xf>
    <xf numFmtId="0" fontId="41" fillId="11" borderId="8" applyAlignment="1">
      <alignment vertical="center"/>
    </xf>
    <xf numFmtId="0" fontId="42" fillId="5" borderId="9" applyAlignment="1">
      <alignment vertical="center"/>
    </xf>
    <xf numFmtId="0" fontId="43" fillId="5" borderId="8" applyAlignment="1">
      <alignment vertical="center"/>
    </xf>
    <xf numFmtId="0" fontId="44" fillId="12" borderId="10" applyAlignment="1">
      <alignment vertical="center"/>
    </xf>
    <xf numFmtId="0" fontId="45" fillId="0" borderId="11" applyAlignment="1">
      <alignment vertical="center"/>
    </xf>
    <xf numFmtId="0" fontId="46" fillId="0" borderId="12" applyAlignment="1">
      <alignment vertical="center"/>
    </xf>
    <xf numFmtId="0" fontId="47" fillId="13" borderId="0" applyAlignment="1">
      <alignment vertical="center"/>
    </xf>
    <xf numFmtId="0" fontId="48" fillId="14" borderId="0" applyAlignment="1">
      <alignment vertical="center"/>
    </xf>
    <xf numFmtId="0" fontId="49" fillId="15" borderId="0" applyAlignment="1">
      <alignment vertical="center"/>
    </xf>
    <xf numFmtId="0" fontId="50" fillId="16" borderId="0" applyAlignment="1">
      <alignment vertical="center"/>
    </xf>
    <xf numFmtId="0" fontId="51" fillId="17" borderId="0" applyAlignment="1">
      <alignment vertical="center"/>
    </xf>
    <xf numFmtId="0" fontId="51" fillId="18" borderId="0" applyAlignment="1">
      <alignment vertical="center"/>
    </xf>
    <xf numFmtId="0" fontId="50" fillId="19" borderId="0" applyAlignment="1">
      <alignment vertical="center"/>
    </xf>
    <xf numFmtId="0" fontId="50" fillId="20" borderId="0" applyAlignment="1">
      <alignment vertical="center"/>
    </xf>
    <xf numFmtId="0" fontId="51" fillId="21" borderId="0" applyAlignment="1">
      <alignment vertical="center"/>
    </xf>
    <xf numFmtId="0" fontId="51" fillId="22" borderId="0" applyAlignment="1">
      <alignment vertical="center"/>
    </xf>
    <xf numFmtId="0" fontId="50" fillId="23" borderId="0" applyAlignment="1">
      <alignment vertical="center"/>
    </xf>
    <xf numFmtId="0" fontId="50" fillId="24" borderId="0" applyAlignment="1">
      <alignment vertical="center"/>
    </xf>
    <xf numFmtId="0" fontId="51" fillId="25" borderId="0" applyAlignment="1">
      <alignment vertical="center"/>
    </xf>
    <xf numFmtId="0" fontId="51" fillId="26" borderId="0" applyAlignment="1">
      <alignment vertical="center"/>
    </xf>
    <xf numFmtId="0" fontId="50" fillId="27" borderId="0" applyAlignment="1">
      <alignment vertical="center"/>
    </xf>
    <xf numFmtId="0" fontId="50" fillId="28" borderId="0" applyAlignment="1">
      <alignment vertical="center"/>
    </xf>
    <xf numFmtId="0" fontId="51" fillId="29" borderId="0" applyAlignment="1">
      <alignment vertical="center"/>
    </xf>
    <xf numFmtId="0" fontId="51" fillId="30" borderId="0" applyAlignment="1">
      <alignment vertical="center"/>
    </xf>
    <xf numFmtId="0" fontId="50" fillId="31" borderId="0" applyAlignment="1">
      <alignment vertical="center"/>
    </xf>
    <xf numFmtId="0" fontId="50" fillId="32" borderId="0" applyAlignment="1">
      <alignment vertical="center"/>
    </xf>
    <xf numFmtId="0" fontId="51" fillId="33" borderId="0" applyAlignment="1">
      <alignment vertical="center"/>
    </xf>
    <xf numFmtId="0" fontId="51" fillId="34" borderId="0" applyAlignment="1">
      <alignment vertical="center"/>
    </xf>
    <xf numFmtId="0" fontId="50" fillId="35" borderId="0" applyAlignment="1">
      <alignment vertical="center"/>
    </xf>
    <xf numFmtId="0" fontId="50" fillId="36" borderId="0" applyAlignment="1">
      <alignment vertical="center"/>
    </xf>
    <xf numFmtId="0" fontId="51" fillId="37" borderId="0" applyAlignment="1">
      <alignment vertical="center"/>
    </xf>
    <xf numFmtId="0" fontId="51" fillId="38" borderId="0" applyAlignment="1">
      <alignment vertical="center"/>
    </xf>
    <xf numFmtId="0" fontId="50" fillId="39" borderId="0" applyAlignment="1">
      <alignment vertical="center"/>
    </xf>
    <xf numFmtId="0" fontId="52" fillId="0" borderId="0" applyAlignment="1">
      <alignment vertical="center"/>
    </xf>
  </cellStyleXfs>
  <cellXfs count="79">
    <xf numFmtId="0" fontId="0" fillId="0" borderId="0" pivotButton="0" quotePrefix="0" xfId="0"/>
    <xf numFmtId="0" fontId="1" fillId="0" borderId="0" pivotButton="0" quotePrefix="0" xfId="0"/>
    <xf numFmtId="0" fontId="1" fillId="2" borderId="0" pivotButton="0" quotePrefix="0" xfId="0"/>
    <xf numFmtId="164" fontId="0" fillId="0" borderId="0" pivotButton="0" quotePrefix="0" xfId="0"/>
    <xf numFmtId="22" fontId="0" fillId="0" borderId="0" pivotButton="0" quotePrefix="0" xfId="0"/>
    <xf numFmtId="0" fontId="2" fillId="3" borderId="0" applyAlignment="1" pivotButton="0" quotePrefix="0" xfId="0">
      <alignment vertical="center" wrapText="1"/>
    </xf>
    <xf numFmtId="0" fontId="1" fillId="2" borderId="0" applyAlignment="1" pivotButton="0" quotePrefix="0" xfId="0">
      <alignment vertical="center" wrapText="1"/>
    </xf>
    <xf numFmtId="14" fontId="0" fillId="0" borderId="0" pivotButton="0" quotePrefix="0" xfId="0"/>
    <xf numFmtId="0" fontId="0" fillId="0" borderId="0" applyAlignment="1" pivotButton="0" quotePrefix="0" xfId="0">
      <alignment horizontal="left" vertical="center" wrapText="1"/>
    </xf>
    <xf numFmtId="0" fontId="0" fillId="0" borderId="0" applyAlignment="1" pivotButton="0" quotePrefix="0" xfId="0">
      <alignment vertical="center"/>
    </xf>
    <xf numFmtId="0" fontId="3" fillId="4" borderId="0" pivotButton="0" quotePrefix="0" xfId="0"/>
    <xf numFmtId="0" fontId="4" fillId="5" borderId="0" applyAlignment="1" pivotButton="0" quotePrefix="0" xfId="0">
      <alignment vertical="center" wrapText="1"/>
    </xf>
    <xf numFmtId="0" fontId="5" fillId="0" borderId="0" applyAlignment="1" pivotButton="0" quotePrefix="0" xfId="0">
      <alignment vertical="center"/>
    </xf>
    <xf numFmtId="0" fontId="6" fillId="0" borderId="1" applyAlignment="1" pivotButton="0" quotePrefix="0" xfId="49">
      <alignment horizontal="center" vertical="center"/>
    </xf>
    <xf numFmtId="0" fontId="7" fillId="0" borderId="0" applyAlignment="1" pivotButton="0" quotePrefix="0" xfId="0">
      <alignment vertical="center" wrapText="1"/>
    </xf>
    <xf numFmtId="0" fontId="8" fillId="0" borderId="0" applyAlignment="1" pivotButton="0" quotePrefix="0" xfId="0">
      <alignment vertical="center"/>
    </xf>
    <xf numFmtId="0" fontId="9" fillId="0" borderId="0" applyAlignment="1" pivotButton="0" quotePrefix="0" xfId="0">
      <alignment vertical="center"/>
    </xf>
    <xf numFmtId="0" fontId="10" fillId="0" borderId="0" applyAlignment="1" pivotButton="0" quotePrefix="0" xfId="0">
      <alignment vertical="center"/>
    </xf>
    <xf numFmtId="0" fontId="1" fillId="0" borderId="0" applyAlignment="1" pivotButton="0" quotePrefix="0" xfId="0">
      <alignment vertical="center" wrapText="1"/>
    </xf>
    <xf numFmtId="0" fontId="7" fillId="0" borderId="0" applyAlignment="1" pivotButton="0" quotePrefix="0" xfId="0">
      <alignment horizontal="center" vertical="center" wrapText="1"/>
    </xf>
    <xf numFmtId="0" fontId="0" fillId="0" borderId="0" applyAlignment="1" pivotButton="0" quotePrefix="0" xfId="0">
      <alignment vertical="center"/>
    </xf>
    <xf numFmtId="0" fontId="11" fillId="0" borderId="0" pivotButton="0" quotePrefix="0" xfId="0"/>
    <xf numFmtId="0" fontId="12" fillId="6" borderId="2" applyAlignment="1" pivotButton="0" quotePrefix="0" xfId="0">
      <alignment horizontal="center" vertical="center" wrapText="1"/>
    </xf>
    <xf numFmtId="0" fontId="13" fillId="4" borderId="0" pivotButton="0" quotePrefix="0" xfId="0"/>
    <xf numFmtId="0" fontId="14" fillId="2" borderId="0" applyAlignment="1" pivotButton="0" quotePrefix="0" xfId="0">
      <alignment vertical="center" wrapText="1"/>
    </xf>
    <xf numFmtId="0" fontId="15" fillId="3" borderId="0" applyAlignment="1" pivotButton="0" quotePrefix="0" xfId="0">
      <alignment vertical="center" wrapText="1"/>
    </xf>
    <xf numFmtId="0" fontId="11" fillId="7" borderId="0" pivotButton="0" quotePrefix="0" xfId="0"/>
    <xf numFmtId="0" fontId="0" fillId="7" borderId="0" pivotButton="0" quotePrefix="0" xfId="0"/>
    <xf numFmtId="0" fontId="16" fillId="7" borderId="0" pivotButton="0" quotePrefix="0" xfId="0"/>
    <xf numFmtId="0" fontId="7" fillId="7" borderId="0" applyAlignment="1" pivotButton="0" quotePrefix="0" xfId="0">
      <alignment horizontal="center" vertical="center" wrapText="1"/>
    </xf>
    <xf numFmtId="0" fontId="17" fillId="7" borderId="2" applyAlignment="1" pivotButton="0" quotePrefix="0" xfId="0">
      <alignment horizontal="center" vertical="center" wrapText="1"/>
    </xf>
    <xf numFmtId="0" fontId="18" fillId="0" borderId="3" applyAlignment="1" pivotButton="0" quotePrefix="0" xfId="0">
      <alignment horizontal="left" vertical="center" indent="1"/>
    </xf>
    <xf numFmtId="0" fontId="16" fillId="0" borderId="0" pivotButton="0" quotePrefix="0" xfId="0"/>
    <xf numFmtId="4" fontId="18" fillId="0" borderId="3" applyAlignment="1" pivotButton="0" quotePrefix="0" xfId="0">
      <alignment horizontal="left" vertical="center" indent="1"/>
    </xf>
    <xf numFmtId="0" fontId="17" fillId="6" borderId="2" applyAlignment="1" pivotButton="0" quotePrefix="0" xfId="0">
      <alignment horizontal="center" vertical="center" wrapText="1"/>
    </xf>
    <xf numFmtId="0" fontId="0" fillId="0" borderId="0" applyAlignment="1" pivotButton="0" quotePrefix="0" xfId="0">
      <alignment horizontal="left"/>
    </xf>
    <xf numFmtId="0" fontId="19" fillId="8" borderId="4" applyAlignment="1" pivotButton="0" quotePrefix="0" xfId="0">
      <alignment horizontal="center" vertical="center" wrapText="1"/>
    </xf>
    <xf numFmtId="0" fontId="2" fillId="3" borderId="0" applyAlignment="1" pivotButton="0" quotePrefix="0" xfId="0">
      <alignment horizontal="left" vertical="center" wrapText="1"/>
    </xf>
    <xf numFmtId="0" fontId="1" fillId="2" borderId="0" applyAlignment="1" pivotButton="0" quotePrefix="0" xfId="0">
      <alignment horizontal="left" vertical="center" wrapText="1"/>
    </xf>
    <xf numFmtId="0" fontId="20" fillId="0" borderId="0" applyAlignment="1" pivotButton="0" quotePrefix="0" xfId="0">
      <alignment horizontal="center" vertical="center"/>
    </xf>
    <xf numFmtId="0" fontId="21" fillId="0" borderId="0" pivotButton="0" quotePrefix="0" xfId="0"/>
    <xf numFmtId="49" fontId="0" fillId="0" borderId="0" applyAlignment="1" pivotButton="0" quotePrefix="0" xfId="0">
      <alignment vertical="center"/>
    </xf>
    <xf numFmtId="0" fontId="0" fillId="0" borderId="0" applyAlignment="1" pivotButton="0" quotePrefix="0" xfId="0">
      <alignment vertical="center"/>
    </xf>
    <xf numFmtId="1"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vertical="center"/>
    </xf>
    <xf numFmtId="49" fontId="0" fillId="0" borderId="0" pivotButton="0" quotePrefix="0" xfId="0"/>
    <xf numFmtId="49" fontId="1" fillId="2" borderId="0" applyAlignment="1" pivotButton="0" quotePrefix="0" xfId="0">
      <alignment vertical="center" wrapText="1"/>
    </xf>
    <xf numFmtId="0" fontId="23" fillId="9" borderId="0" applyAlignment="1" pivotButton="0" quotePrefix="0" xfId="0">
      <alignment vertical="center" wrapText="1"/>
    </xf>
    <xf numFmtId="0" fontId="24" fillId="9" borderId="0" applyAlignment="1" pivotButton="0" quotePrefix="0" xfId="0">
      <alignment vertical="center" wrapText="1"/>
    </xf>
    <xf numFmtId="9" fontId="23" fillId="9" borderId="0" applyAlignment="1" pivotButton="0" quotePrefix="0" xfId="0">
      <alignment vertical="center" wrapText="1"/>
    </xf>
    <xf numFmtId="49" fontId="22" fillId="0" borderId="0" applyAlignment="1" pivotButton="0" quotePrefix="0" xfId="0">
      <alignment vertical="center"/>
    </xf>
    <xf numFmtId="0" fontId="25" fillId="0" borderId="0" applyAlignment="1" pivotButton="0" quotePrefix="0" xfId="0">
      <alignment horizontal="center" vertical="center" wrapText="1"/>
    </xf>
    <xf numFmtId="0" fontId="26" fillId="0" borderId="0" applyAlignment="1" pivotButton="0" quotePrefix="0" xfId="0">
      <alignment horizontal="center" vertical="center" wrapText="1"/>
    </xf>
    <xf numFmtId="0" fontId="27" fillId="0" borderId="0" applyAlignment="1" pivotButton="0" quotePrefix="0" xfId="0">
      <alignment horizontal="center" vertical="center" wrapText="1"/>
    </xf>
    <xf numFmtId="14" fontId="7" fillId="0" borderId="0" applyAlignment="1" pivotButton="0" quotePrefix="0" xfId="0">
      <alignment horizontal="center" vertical="center" wrapText="1"/>
    </xf>
    <xf numFmtId="0" fontId="28" fillId="0" borderId="0" applyAlignment="1" pivotButton="0" quotePrefix="0" xfId="0">
      <alignment horizontal="center" vertical="center" wrapText="1"/>
    </xf>
    <xf numFmtId="165" fontId="7" fillId="0" borderId="0" applyAlignment="1" pivotButton="0" quotePrefix="0" xfId="0">
      <alignment horizontal="center" vertical="center" wrapText="1"/>
    </xf>
    <xf numFmtId="0" fontId="29" fillId="0" borderId="0" applyAlignment="1" pivotButton="0" quotePrefix="0" xfId="0">
      <alignment horizontal="center" vertical="center" wrapText="1"/>
    </xf>
    <xf numFmtId="0" fontId="30" fillId="0" borderId="0" applyAlignment="1" pivotButton="0" quotePrefix="0" xfId="0">
      <alignment horizontal="center" vertical="center"/>
    </xf>
    <xf numFmtId="0" fontId="19" fillId="8" borderId="4" applyAlignment="1" pivotButton="0" quotePrefix="0" xfId="0">
      <alignment horizontal="center" vertical="center"/>
    </xf>
    <xf numFmtId="166" fontId="19" fillId="8" borderId="4" applyAlignment="1" pivotButton="0" quotePrefix="0" xfId="0">
      <alignment horizontal="center" vertical="center" wrapText="1"/>
    </xf>
    <xf numFmtId="0" fontId="19" fillId="0" borderId="4" applyAlignment="1" pivotButton="0" quotePrefix="0" xfId="0">
      <alignment horizontal="center" vertical="center" wrapText="1"/>
    </xf>
    <xf numFmtId="0" fontId="19" fillId="0" borderId="0" applyAlignment="1" pivotButton="0" quotePrefix="0" xfId="0">
      <alignment horizontal="center" vertical="center" wrapText="1"/>
    </xf>
    <xf numFmtId="0" fontId="22" fillId="0" borderId="0" applyAlignment="1" pivotButton="0" quotePrefix="0" xfId="0">
      <alignment horizontal="center" vertical="center"/>
    </xf>
    <xf numFmtId="0" fontId="2" fillId="3" borderId="0" applyAlignment="1" pivotButton="0" quotePrefix="0" xfId="0">
      <alignment horizontal="center" vertical="center" wrapText="1"/>
    </xf>
    <xf numFmtId="0" fontId="1" fillId="2" borderId="0" applyAlignment="1" pivotButton="0" quotePrefix="0" xfId="0">
      <alignment horizontal="center" vertical="center" wrapText="1"/>
    </xf>
    <xf numFmtId="9" fontId="0" fillId="0" borderId="0" applyAlignment="1" pivotButton="0" quotePrefix="0" xfId="0">
      <alignment horizontal="center" vertical="center"/>
    </xf>
    <xf numFmtId="0" fontId="31" fillId="0" borderId="0" pivotButton="0" quotePrefix="0" xfId="0"/>
    <xf numFmtId="0" fontId="32" fillId="0" borderId="0" pivotButton="0" quotePrefix="0" xfId="0"/>
    <xf numFmtId="0" fontId="0" fillId="0" borderId="0" applyAlignment="1" pivotButton="0" quotePrefix="0" xfId="0">
      <alignment vertical="center" wrapText="1"/>
    </xf>
    <xf numFmtId="0" fontId="22" fillId="0" borderId="0" applyAlignment="1" pivotButton="0" quotePrefix="1" xfId="0">
      <alignment horizontal="center" vertical="center"/>
    </xf>
    <xf numFmtId="0" fontId="0" fillId="0" borderId="0" applyAlignment="1" pivotButton="0" quotePrefix="1" xfId="0">
      <alignment horizontal="center" vertical="center"/>
    </xf>
    <xf numFmtId="0" fontId="23" fillId="9" borderId="0" applyAlignment="1" pivotButton="0" quotePrefix="1" xfId="0">
      <alignment vertical="center" wrapText="1"/>
    </xf>
    <xf numFmtId="166" fontId="19" fillId="8" borderId="4" applyAlignment="1" pivotButton="0" quotePrefix="0" xfId="0">
      <alignment horizontal="center" vertical="center" wrapText="1"/>
    </xf>
    <xf numFmtId="165" fontId="7" fillId="0" borderId="0" applyAlignment="1" pivotButton="0" quotePrefix="0" xfId="0">
      <alignment horizontal="center" vertical="center" wrapText="1"/>
    </xf>
    <xf numFmtId="164" fontId="0" fillId="0" borderId="0" pivotButton="0" quotePrefix="0" xfId="0"/>
    <xf numFmtId="0" fontId="54" fillId="40" borderId="13" applyAlignment="1" pivotButton="0" quotePrefix="0" xfId="0">
      <alignment horizontal="center" vertical="center" wrapText="1"/>
    </xf>
    <xf numFmtId="0" fontId="0" fillId="0" borderId="13" applyAlignment="1" pivotButton="0" quotePrefix="0" xfId="0">
      <alignment vertical="top" wrapText="1"/>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10" xfId="49"/>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styles" Target="styles.xml" Id="rId30"/><Relationship Type="http://schemas.openxmlformats.org/officeDocument/2006/relationships/theme" Target="theme/theme1.xml" Id="rId31"/><Relationship Type="http://schemas.microsoft.com/office/2006/relationships/vbaProject" Target="vbaProject.bin" Id="rId32"/></Relationships>
</file>

<file path=xl/comments/comment1.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关键字段，不能删除这一列。单元格可以按行留空的，只限于非关键列。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不需要的列可以直接删除。不能改成字段库里没有的名字。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不需要的列可以直接删除。不能改成字段库里没有的名字。</t>
      </text>
    </comment>
    <comment ref="L1" authorId="0" shapeId="0">
      <text>
        <t>不需要的列可以直接删除。不能改成字段库里没有的名字。</t>
      </text>
    </comment>
    <comment ref="M1" authorId="0" shapeId="0">
      <text>
        <t>不需要的列可以直接删除。不能改成字段库里没有的名字。</t>
      </text>
    </comment>
    <comment ref="N1" authorId="0" shapeId="0">
      <text>
        <t>不需要的列可以直接删除。不能改成字段库里没有的名字。</t>
      </text>
    </comment>
    <comment ref="O1" authorId="0" shapeId="0">
      <text>
        <t>不需要的列可以直接删除。不能改成字段库里没有的名字。</t>
      </text>
    </comment>
    <comment ref="P1" authorId="0" shapeId="0">
      <text>
        <t>不需要的列可以直接删除。不能改成字段库里没有的名字。</t>
      </text>
    </comment>
    <comment ref="Q1" authorId="0" shapeId="0">
      <text>
        <t>不需要的列可以直接删除。不能改成字段库里没有的名字。</t>
      </text>
    </comment>
    <comment ref="R1" authorId="0" shapeId="0">
      <text>
        <t>不需要的列可以直接删除。不能改成字段库里没有的名字。</t>
      </text>
    </comment>
    <comment ref="S1" authorId="0" shapeId="0">
      <text>
        <t>不需要的列可以直接删除。不能改成字段库里没有的名字。</t>
      </text>
    </comment>
    <comment ref="T1" authorId="0" shapeId="0">
      <text>
        <t>不需要的列可以直接删除。不能改成字段库里没有的名字。</t>
      </text>
    </comment>
    <comment ref="U1" authorId="0" shapeId="0">
      <text>
        <t>不需要的列可以直接删除。不能改成字段库里没有的名字。</t>
      </text>
    </comment>
    <comment ref="V1" authorId="0" shapeId="0">
      <text>
        <t>不需要的列可以直接删除。不能改成字段库里没有的名字。</t>
      </text>
    </comment>
    <comment ref="W1" authorId="0" shapeId="0">
      <text>
        <t>不需要的列可以直接删除。不能改成字段库里没有的名字。</t>
      </text>
    </comment>
    <comment ref="X1" authorId="0" shapeId="0">
      <text>
        <t>不需要的列可以直接删除。不能改成字段库里没有的名字。</t>
      </text>
    </comment>
  </commentList>
</comments>
</file>

<file path=xl/comments/comment2.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关键字段，不能删除这一列。单元格可以按行留空的，只限于非关键列。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不需要的列可以直接删除。不能改成字段库里没有的名字。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不需要的列可以直接删除。不能改成字段库里没有的名字。</t>
      </text>
    </comment>
    <comment ref="L1" authorId="0" shapeId="0">
      <text>
        <t>不需要的列可以直接删除。不能改成字段库里没有的名字。</t>
      </text>
    </comment>
    <comment ref="M1" authorId="0" shapeId="0">
      <text>
        <t>不需要的列可以直接删除。不能改成字段库里没有的名字。</t>
      </text>
    </comment>
    <comment ref="N1" authorId="0" shapeId="0">
      <text>
        <t>不需要的列可以直接删除。不能改成字段库里没有的名字。</t>
      </text>
    </comment>
    <comment ref="O1" authorId="0" shapeId="0">
      <text>
        <t>不需要的列可以直接删除。不能改成字段库里没有的名字。</t>
      </text>
    </comment>
    <comment ref="P1" authorId="0" shapeId="0">
      <text>
        <t>不需要的列可以直接删除。不能改成字段库里没有的名字。</t>
      </text>
    </comment>
    <comment ref="Q1" authorId="0" shapeId="0">
      <text>
        <t>不需要的列可以直接删除。不能改成字段库里没有的名字。</t>
      </text>
    </comment>
    <comment ref="R1" authorId="0" shapeId="0">
      <text>
        <t>不需要的列可以直接删除。不能改成字段库里没有的名字。</t>
      </text>
    </comment>
    <comment ref="S1" authorId="0" shapeId="0">
      <text>
        <t>不需要的列可以直接删除。不能改成字段库里没有的名字。</t>
      </text>
    </comment>
    <comment ref="T1" authorId="0" shapeId="0">
      <text>
        <t>不需要的列可以直接删除。不能改成字段库里没有的名字。</t>
      </text>
    </comment>
    <comment ref="U1" authorId="0" shapeId="0">
      <text>
        <t>不需要的列可以直接删除。不能改成字段库里没有的名字。</t>
      </text>
    </comment>
    <comment ref="V1" authorId="0" shapeId="0">
      <text>
        <t>不需要的列可以直接删除。不能改成字段库里没有的名字。</t>
      </text>
    </comment>
    <comment ref="W1" authorId="0" shapeId="0">
      <text>
        <t>不需要的列可以直接删除。不能改成字段库里没有的名字。</t>
      </text>
    </comment>
    <comment ref="X1" authorId="0" shapeId="0">
      <text>
        <t>不需要的列可以直接删除。不能改成字段库里没有的名字。</t>
      </text>
    </comment>
  </commentList>
</comments>
</file>

<file path=xl/comments/comment3.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不需要的列可以直接删除。不能改成字段库里没有的名字。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不需要的列可以直接删除。不能改成字段库里没有的名字。</t>
      </text>
    </comment>
    <comment ref="L1" authorId="0" shapeId="0">
      <text>
        <t>不需要的列可以直接删除。不能改成字段库里没有的名字。</t>
      </text>
    </comment>
    <comment ref="M1" authorId="0" shapeId="0">
      <text>
        <t>不需要的列可以直接删除。不能改成字段库里没有的名字。</t>
      </text>
    </comment>
    <comment ref="N1" authorId="0" shapeId="0">
      <text>
        <t>不需要的列可以直接删除。不能改成字段库里没有的名字。</t>
      </text>
    </comment>
    <comment ref="O1" authorId="0" shapeId="0">
      <text>
        <t>不需要的列可以直接删除。不能改成字段库里没有的名字。</t>
      </text>
    </comment>
    <comment ref="P1" authorId="0" shapeId="0">
      <text>
        <t>不需要的列可以直接删除。不能改成字段库里没有的名字。</t>
      </text>
    </comment>
    <comment ref="Q1" authorId="0" shapeId="0">
      <text>
        <t>不需要的列可以直接删除。不能改成字段库里没有的名字。</t>
      </text>
    </comment>
    <comment ref="R1" authorId="0" shapeId="0">
      <text>
        <t>不需要的列可以直接删除。不能改成字段库里没有的名字。</t>
      </text>
    </comment>
    <comment ref="S1" authorId="0" shapeId="0">
      <text>
        <t>不需要的列可以直接删除。不能改成字段库里没有的名字。</t>
      </text>
    </comment>
    <comment ref="T1" authorId="0" shapeId="0">
      <text>
        <t>不需要的列可以直接删除。不能改成字段库里没有的名字。</t>
      </text>
    </comment>
    <comment ref="U1" authorId="0" shapeId="0">
      <text>
        <t>不需要的列可以直接删除。不能改成字段库里没有的名字。</t>
      </text>
    </comment>
    <comment ref="V1" authorId="0" shapeId="0">
      <text>
        <t>不需要的列可以直接删除。不能改成字段库里没有的名字。</t>
      </text>
    </comment>
  </commentList>
</comments>
</file>

<file path=xl/comments/comment4.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List>
</comments>
</file>

<file path=xl/comments/comment5.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List>
</comments>
</file>

<file path=xl/comments/comment6.xml><?xml version="1.0" encoding="utf-8"?>
<comments xmlns="http://schemas.openxmlformats.org/spreadsheetml/2006/main">
  <authors>
    <author>传输</author>
  </authors>
  <commentList>
    <comment ref="D1" authorId="0" shapeId="0">
      <text>
        <t>关键字段，不能删除这一列。单元格可以按行留空的，只限于非关键列。</t>
      </text>
    </comment>
    <comment ref="E1" authorId="0" shapeId="0">
      <text>
        <t>关键字段，不能删除这一列。单元格可以按行留空的，只限于非关键列。</t>
      </text>
    </comment>
    <comment ref="F1" authorId="0" shapeId="0">
      <text>
        <t>不需要的列可以直接删除。不能改成字段库里没有的名字。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关键字段，不能删除这一列。单元格可以按行留空的，只限于非关键列。</t>
      </text>
    </comment>
    <comment ref="J1" authorId="0" shapeId="0">
      <text>
        <t>不需要的列可以直接删除。不能改成字段库里没有的名字。</t>
      </text>
    </comment>
    <comment ref="K1" authorId="0" shapeId="0">
      <text>
        <t>不需要的列可以直接删除。不能改成字段库里没有的名字。</t>
      </text>
    </comment>
    <comment ref="L1" authorId="0" shapeId="0">
      <text>
        <t>不需要的列可以直接删除。不能改成字段库里没有的名字。</t>
      </text>
    </comment>
    <comment ref="M1" authorId="0" shapeId="0">
      <text>
        <t>不需要的列可以直接删除。不能改成字段库里没有的名字。</t>
      </text>
    </comment>
    <comment ref="N1" authorId="0" shapeId="0">
      <text>
        <t>不需要的列可以直接删除。不能改成字段库里没有的名字。</t>
      </text>
    </comment>
    <comment ref="O1" authorId="0" shapeId="0">
      <text>
        <t>不需要的列可以直接删除。不能改成字段库里没有的名字。</t>
      </text>
    </comment>
  </commentList>
</comments>
</file>

<file path=xl/comments/comment7.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关键字段，不能删除这一列。单元格可以按行留空的，只限于非关键列。</t>
      </text>
    </comment>
    <comment ref="E1" authorId="0" shapeId="0">
      <text>
        <t>不需要的列可以直接删除。不能改成字段库里没有的名字。</t>
      </text>
    </comment>
    <comment ref="F1" authorId="0" shapeId="0">
      <text>
        <t>不需要的列可以直接删除。不能改成字段库里没有的名字。</t>
      </text>
    </comment>
  </commentList>
</comments>
</file>

<file path=xl/comments/comment8.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关键字段，不能删除这一列。单元格可以按行留空的，只限于非关键列。</t>
      </text>
    </comment>
    <comment ref="F1" authorId="0" shapeId="0">
      <text>
        <t>关键字段，不能删除这一列。单元格可以按行留空的，只限于非关键列。</t>
      </text>
    </comment>
    <comment ref="G1" authorId="0" shapeId="0">
      <text>
        <t>关键字段，不能删除这一列。单元格可以按行留空的，只限于非关键列。</t>
      </text>
    </comment>
  </commentList>
</comments>
</file>

<file path=xl/comments/comment9.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关键字段，不能删除这一列。单元格可以按行留空的，只限于非关键列。</t>
      </text>
    </comment>
    <comment ref="F1" authorId="0" shapeId="0">
      <text>
        <t>关键字段，不能删除这一列。单元格可以按行留空的，只限于非关键列。</t>
      </text>
    </comment>
    <comment ref="G1" authorId="0" shapeId="0">
      <text>
        <t>关键字段，不能删除这一列。单元格可以按行留空的，只限于非关键列。</t>
      </text>
    </comment>
  </commentList>
</comments>
</file>

<file path=xl/comments/comment10.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关键字段，不能删除这一列。单元格可以按行留空的，只限于非关键列。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关键字段，不能删除这一列。单元格可以按行留空的，只限于非关键列。</t>
      </text>
    </comment>
    <comment ref="L1" authorId="0" shapeId="0">
      <text>
        <t>关键字段，不能删除这一列。单元格可以按行留空的，只限于非关键列。</t>
      </text>
    </comment>
    <comment ref="M1" authorId="0" shapeId="0">
      <text>
        <t>不需要的列可以直接删除。不能改成字段库里没有的名字。</t>
      </text>
    </comment>
    <comment ref="N1" authorId="0" shapeId="0">
      <text>
        <t>不需要的列可以直接删除。不能改成字段库里没有的名字。</t>
      </text>
    </comment>
  </commentList>
</comments>
</file>

<file path=xl/comments/comment11.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关键字段，不能删除这一列。单元格可以按行留空的，只限于非关键列。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关键字段，不能删除这一列。单元格可以按行留空的，只限于非关键列。</t>
      </text>
    </comment>
    <comment ref="L1" authorId="0" shapeId="0">
      <text>
        <t>关键字段，不能删除这一列。单元格可以按行留空的，只限于非关键列。</t>
      </text>
    </comment>
    <comment ref="M1" authorId="0" shapeId="0">
      <text>
        <t>不需要的列可以直接删除。不能改成字段库里没有的名字。</t>
      </text>
    </comment>
    <comment ref="N1" authorId="0" shapeId="0">
      <text>
        <t>不需要的列可以直接删除。不能改成字段库里没有的名字。</t>
      </text>
    </comment>
  </commentList>
</comments>
</file>

<file path=xl/comments/comment12.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不需要的列可以直接删除。不能改成字段库里没有的名字。</t>
      </text>
    </comment>
    <comment ref="C1" authorId="0" shapeId="0">
      <text>
        <t>不需要的列可以直接删除。不能改成字段库里没有的名字。</t>
      </text>
    </comment>
    <comment ref="D1" authorId="0" shapeId="0">
      <text>
        <t>关键字段，不能删除这一列。单元格可以按行留空的，只限于非关键列。</t>
      </text>
    </comment>
    <comment ref="E1" authorId="0" shapeId="0">
      <text>
        <t>关键字段，不能删除这一列。单元格可以按行留空的，只限于非关键列。</t>
      </text>
    </comment>
    <comment ref="F1" authorId="0" shapeId="0">
      <text>
        <t>关键字段，不能删除这一列。单元格可以按行留空的，只限于非关键列。</t>
      </text>
    </comment>
    <comment ref="G1" authorId="0" shapeId="0">
      <text>
        <t>关键字段，不能删除这一列。单元格可以按行留空的，只限于非关键列。</t>
      </text>
    </comment>
    <comment ref="H1" authorId="0" shapeId="0">
      <text>
        <t>不需要的列可以直接删除。不能改成字段库里没有的名字。</t>
      </text>
    </comment>
    <comment ref="I1" authorId="0" shapeId="0">
      <text>
        <t>不需要的列可以直接删除。不能改成字段库里没有的名字。</t>
      </text>
    </comment>
  </commentList>
</comments>
</file>

<file path=xl/comments/comment13.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不需要的列可以直接删除。不能改成字段库里没有的名字。</t>
      </text>
    </comment>
    <comment ref="C1" authorId="0" shapeId="0">
      <text>
        <t>不需要的列可以直接删除。不能改成字段库里没有的名字。</t>
      </text>
    </comment>
    <comment ref="D1" authorId="0" shapeId="0">
      <text>
        <t>关键字段，不能删除这一列。单元格可以按行留空的，只限于非关键列。</t>
      </text>
    </comment>
    <comment ref="E1" authorId="0" shapeId="0">
      <text>
        <t>关键字段，不能删除这一列。单元格可以按行留空的，只限于非关键列。</t>
      </text>
    </comment>
    <comment ref="F1" authorId="0" shapeId="0">
      <text>
        <t>关键字段，不能删除这一列。单元格可以按行留空的，只限于非关键列。</t>
      </text>
    </comment>
    <comment ref="G1" authorId="0" shapeId="0">
      <text>
        <t>关键字段，不能删除这一列。单元格可以按行留空的，只限于非关键列。</t>
      </text>
    </comment>
    <comment ref="H1" authorId="0" shapeId="0">
      <text>
        <t>不需要的列可以直接删除。不能改成字段库里没有的名字。</t>
      </text>
    </comment>
    <comment ref="I1" authorId="0" shapeId="0">
      <text>
        <t>不需要的列可以直接删除。不能改成字段库里没有的名字。</t>
      </text>
    </comment>
  </commentList>
</comments>
</file>

<file path=xl/comments/comment14.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不需要的列可以直接删除。不能改成字段库里没有的名字。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关键字段，不能删除这一列。单元格可以按行留空的，只限于非关键列。</t>
      </text>
    </comment>
    <comment ref="G1" authorId="0" shapeId="0">
      <text>
        <t>关键字段，不能删除这一列。单元格可以按行留空的，只限于非关键列。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关键字段，不能删除这一列。单元格可以按行留空的，只限于非关键列。</t>
      </text>
    </comment>
    <comment ref="L1" authorId="0" shapeId="0">
      <text>
        <t>不需要的列可以直接删除。不能改成字段库里没有的名字。</t>
      </text>
    </comment>
    <comment ref="M1" authorId="0" shapeId="0">
      <text>
        <t>不需要的列可以直接删除。不能改成字段库里没有的名字。</t>
      </text>
    </comment>
    <comment ref="N1" authorId="0" shapeId="0">
      <text>
        <t>不需要的列可以直接删除。不能改成字段库里没有的名字。</t>
      </text>
    </comment>
    <comment ref="O1" authorId="0" shapeId="0">
      <text>
        <t>不需要的列可以直接删除。不能改成字段库里没有的名字。</t>
      </text>
    </comment>
    <comment ref="P1" authorId="0" shapeId="0">
      <text>
        <t>不需要的列可以直接删除。不能改成字段库里没有的名字。</t>
      </text>
    </comment>
    <comment ref="Q1" authorId="0" shapeId="0">
      <text>
        <t>不需要的列可以直接删除。不能改成字段库里没有的名字。</t>
      </text>
    </comment>
    <comment ref="R1" authorId="0" shapeId="0">
      <text>
        <t>不需要的列可以直接删除。不能改成字段库里没有的名字。</t>
      </text>
    </comment>
    <comment ref="S1" authorId="0" shapeId="0">
      <text>
        <t>不需要的列可以直接删除。不能改成字段库里没有的名字。</t>
      </text>
    </comment>
    <comment ref="T1" authorId="0" shapeId="0">
      <text>
        <t>不需要的列可以直接删除。不能改成字段库里没有的名字。</t>
      </text>
    </comment>
    <comment ref="U1" authorId="0" shapeId="0">
      <text>
        <t>不需要的列可以直接删除。不能改成字段库里没有的名字。</t>
      </text>
    </comment>
    <comment ref="V1" authorId="0" shapeId="0">
      <text>
        <t>不需要的列可以直接删除。不能改成字段库里没有的名字。</t>
      </text>
    </comment>
    <comment ref="W1" authorId="0" shapeId="0">
      <text>
        <t>不需要的列可以直接删除。不能改成字段库里没有的名字。</t>
      </text>
    </comment>
    <comment ref="X1" authorId="0" shapeId="0">
      <text>
        <t>不需要的列可以直接删除。不能改成字段库里没有的名字。</t>
      </text>
    </comment>
    <comment ref="Y1" authorId="0" shapeId="0">
      <text>
        <t>不需要的列可以直接删除。不能改成字段库里没有的名字。</t>
      </text>
    </comment>
    <comment ref="Z1" authorId="0" shapeId="0">
      <text>
        <t>不需要的列可以直接删除。不能改成字段库里没有的名字。</t>
      </text>
    </comment>
    <comment ref="AA1" authorId="0" shapeId="0">
      <text>
        <t>不需要的列可以直接删除。不能改成字段库里没有的名字。</t>
      </text>
    </comment>
    <comment ref="AB1" authorId="0" shapeId="0">
      <text>
        <t>不需要的列可以直接删除。不能改成字段库里没有的名字。</t>
      </text>
    </comment>
    <comment ref="AC1" authorId="0" shapeId="0">
      <text>
        <t>不需要的列可以直接删除。不能改成字段库里没有的名字。</t>
      </text>
    </comment>
    <comment ref="AD1" authorId="0" shapeId="0">
      <text>
        <t>不需要的列可以直接删除。不能改成字段库里没有的名字。</t>
      </text>
    </comment>
    <comment ref="AE1" authorId="0" shapeId="0">
      <text>
        <t>不需要的列可以直接删除。不能改成字段库里没有的名字。</t>
      </text>
    </comment>
    <comment ref="AF1" authorId="0" shapeId="0">
      <text>
        <t>不需要的列可以直接删除。不能改成字段库里没有的名字。</t>
      </text>
    </comment>
    <comment ref="AG1" authorId="0" shapeId="0">
      <text>
        <t>不需要的列可以直接删除。不能改成字段库里没有的名字。</t>
      </text>
    </comment>
    <comment ref="AH1" authorId="0" shapeId="0">
      <text>
        <t>不需要的列可以直接删除。不能改成字段库里没有的名字。</t>
      </text>
    </comment>
    <comment ref="AI1" authorId="0" shapeId="0">
      <text>
        <t>不需要的列可以直接删除。不能改成字段库里没有的名字。</t>
      </text>
    </comment>
    <comment ref="AJ1" authorId="0" shapeId="0">
      <text>
        <t>不需要的列可以直接删除。不能改成字段库里没有的名字。</t>
      </text>
    </comment>
    <comment ref="AK1" authorId="0" shapeId="0">
      <text>
        <t>不需要的列可以直接删除。不能改成字段库里没有的名字。</t>
      </text>
    </comment>
  </commentList>
</comments>
</file>

<file path=xl/comments/comment15.xml><?xml version="1.0" encoding="utf-8"?>
<comments xmlns="http://schemas.openxmlformats.org/spreadsheetml/2006/main">
  <authors>
    <author>传输</author>
  </authors>
  <commentList>
    <comment ref="A1" authorId="0" shapeId="0">
      <text>
        <t>不需要的列可以直接删除。不能改成字段库里没有的名字。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关键字段，不能删除这一列。单元格可以按行留空的，只限于非关键列。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 ref="K1" authorId="0" shapeId="0">
      <text>
        <t>关键字段，不能删除这一列。单元格可以按行留空的，只限于非关键列。</t>
      </text>
    </comment>
    <comment ref="L1" authorId="0" shapeId="0">
      <text>
        <t>关键字段，不能删除这一列。单元格可以按行留空的，只限于非关键列。</t>
      </text>
    </comment>
    <comment ref="M1" authorId="0" shapeId="0">
      <text>
        <t>不需要的列可以直接删除。不能改成字段库里没有的名字。</t>
      </text>
    </comment>
    <comment ref="N1" authorId="0" shapeId="0">
      <text>
        <t>不需要的列可以直接删除。不能改成字段库里没有的名字。</t>
      </text>
    </comment>
  </commentList>
</comments>
</file>

<file path=xl/comments/comment16.xml><?xml version="1.0" encoding="utf-8"?>
<comments xmlns="http://schemas.openxmlformats.org/spreadsheetml/2006/main">
  <authors>
    <author>传输</author>
  </authors>
  <commentList>
    <comment ref="A2" authorId="0" shapeId="0">
      <text>
        <t>关键字段，不能删除这一列。单元格可以按行留空的，只限于非关键列。</t>
      </text>
    </comment>
    <comment ref="B2" authorId="0" shapeId="0">
      <text>
        <t>不需要的列可以直接删除。不能改成字段库里没有的名字。</t>
      </text>
    </comment>
    <comment ref="C2" authorId="0" shapeId="0">
      <text>
        <t>不需要的列可以直接删除。不能改成字段库里没有的名字。</t>
      </text>
    </comment>
    <comment ref="D2" authorId="0" shapeId="0">
      <text>
        <t>关键字段，不能删除这一列。单元格可以按行留空的，只限于非关键列。</t>
      </text>
    </comment>
    <comment ref="E2" authorId="0" shapeId="0">
      <text>
        <t>关键字段，不能删除这一列。单元格可以按行留空的，只限于非关键列。</t>
      </text>
    </comment>
    <comment ref="F2" authorId="0" shapeId="0">
      <text>
        <t>不需要的列可以直接删除。不能改成字段库里没有的名字。</t>
      </text>
    </comment>
    <comment ref="G2" authorId="0" shapeId="0">
      <text>
        <t>不需要的列可以直接删除。不能改成字段库里没有的名字。</t>
      </text>
    </comment>
    <comment ref="H2" authorId="0" shapeId="0">
      <text>
        <t>不需要的列可以直接删除。不能改成字段库里没有的名字。</t>
      </text>
    </comment>
    <comment ref="I2" authorId="0" shapeId="0">
      <text>
        <t>不需要的列可以直接删除。不能改成字段库里没有的名字。</t>
      </text>
    </comment>
    <comment ref="J2" authorId="0" shapeId="0">
      <text>
        <t>不需要的列可以直接删除。不能改成字段库里没有的名字。</t>
      </text>
    </comment>
    <comment ref="K2" authorId="0" shapeId="0">
      <text>
        <t>不需要的列可以直接删除。不能改成字段库里没有的名字。</t>
      </text>
    </comment>
    <comment ref="L2" authorId="0" shapeId="0">
      <text>
        <t>不需要的列可以直接删除。不能改成字段库里没有的名字。</t>
      </text>
    </comment>
    <comment ref="M2" authorId="0" shapeId="0">
      <text>
        <t>不需要的列可以直接删除。不能改成字段库里没有的名字。</t>
      </text>
    </comment>
    <comment ref="N2" authorId="0" shapeId="0">
      <text>
        <t>不需要的列可以直接删除。不能改成字段库里没有的名字。</t>
      </text>
    </comment>
    <comment ref="O2" authorId="0" shapeId="0">
      <text>
        <t>不需要的列可以直接删除。不能改成字段库里没有的名字。</t>
      </text>
    </comment>
    <comment ref="P2" authorId="0" shapeId="0">
      <text>
        <t>不需要的列可以直接删除。不能改成字段库里没有的名字。</t>
      </text>
    </comment>
    <comment ref="Q2" authorId="0" shapeId="0">
      <text>
        <t>不需要的列可以直接删除。不能改成字段库里没有的名字。</t>
      </text>
    </comment>
    <comment ref="R2" authorId="0" shapeId="0">
      <text>
        <t>不需要的列可以直接删除。不能改成字段库里没有的名字。</t>
      </text>
    </comment>
    <comment ref="S2" authorId="0" shapeId="0">
      <text>
        <t>不需要的列可以直接删除。不能改成字段库里没有的名字。</t>
      </text>
    </comment>
    <comment ref="T2" authorId="0" shapeId="0">
      <text>
        <t>不需要的列可以直接删除。不能改成字段库里没有的名字。</t>
      </text>
    </comment>
    <comment ref="U2" authorId="0" shapeId="0">
      <text>
        <t>不需要的列可以直接删除。不能改成字段库里没有的名字。</t>
      </text>
    </comment>
    <comment ref="V2" authorId="0" shapeId="0">
      <text>
        <t>不需要的列可以直接删除。不能改成字段库里没有的名字。</t>
      </text>
    </comment>
    <comment ref="W2" authorId="0" shapeId="0">
      <text>
        <t>不需要的列可以直接删除。不能改成字段库里没有的名字。</t>
      </text>
    </comment>
    <comment ref="X2" authorId="0" shapeId="0">
      <text>
        <t>不需要的列可以直接删除。不能改成字段库里没有的名字。</t>
      </text>
    </comment>
    <comment ref="A5" authorId="0" shapeId="0">
      <text>
        <t>不需要的列可以直接删除。不能改成字段库里没有的名字。</t>
      </text>
    </comment>
    <comment ref="B5" authorId="0" shapeId="0">
      <text>
        <t>关键字段，不能删除这一列。单元格可以按行留空的，只限于非关键列。</t>
      </text>
    </comment>
    <comment ref="C5" authorId="0" shapeId="0">
      <text>
        <t>不需要的列可以直接删除。不能改成字段库里没有的名字。</t>
      </text>
    </comment>
    <comment ref="D5" authorId="0" shapeId="0">
      <text>
        <t>不需要的列可以直接删除。不能改成字段库里没有的名字。</t>
      </text>
    </comment>
    <comment ref="E5" authorId="0" shapeId="0">
      <text>
        <t>不需要的列可以直接删除。不能改成字段库里没有的名字。</t>
      </text>
    </comment>
    <comment ref="F5" authorId="0" shapeId="0">
      <text>
        <t>不需要的列可以直接删除。不能改成字段库里没有的名字。</t>
      </text>
    </comment>
    <comment ref="G5" authorId="0" shapeId="0">
      <text>
        <t>关键字段，不能删除这一列。单元格可以按行留空的，只限于非关键列。</t>
      </text>
    </comment>
    <comment ref="H5" authorId="0" shapeId="0">
      <text>
        <t>关键字段，不能删除这一列。单元格可以按行留空的，只限于非关键列。</t>
      </text>
    </comment>
  </commentList>
</comments>
</file>

<file path=xl/comments/comment17.xml><?xml version="1.0" encoding="utf-8"?>
<comments xmlns="http://schemas.openxmlformats.org/spreadsheetml/2006/main">
  <authors>
    <author>传输</author>
  </authors>
  <commentList>
    <comment ref="A2" authorId="0" shapeId="0">
      <text>
        <t>关键字段，不能删除这一列。单元格可以按行留空的，只限于非关键列。</t>
      </text>
    </comment>
    <comment ref="B2" authorId="0" shapeId="0">
      <text>
        <t>不需要的列可以直接删除。不能改成字段库里没有的名字。</t>
      </text>
    </comment>
    <comment ref="C2" authorId="0" shapeId="0">
      <text>
        <t>不需要的列可以直接删除。不能改成字段库里没有的名字。</t>
      </text>
    </comment>
    <comment ref="D2" authorId="0" shapeId="0">
      <text>
        <t>关键字段，不能删除这一列。单元格可以按行留空的，只限于非关键列。</t>
      </text>
    </comment>
    <comment ref="E2" authorId="0" shapeId="0">
      <text>
        <t>关键字段，不能删除这一列。单元格可以按行留空的，只限于非关键列。</t>
      </text>
    </comment>
    <comment ref="F2" authorId="0" shapeId="0">
      <text>
        <t>不需要的列可以直接删除。不能改成字段库里没有的名字。</t>
      </text>
    </comment>
    <comment ref="G2" authorId="0" shapeId="0">
      <text>
        <t>不需要的列可以直接删除。不能改成字段库里没有的名字。</t>
      </text>
    </comment>
    <comment ref="H2" authorId="0" shapeId="0">
      <text>
        <t>不需要的列可以直接删除。不能改成字段库里没有的名字。</t>
      </text>
    </comment>
    <comment ref="I2" authorId="0" shapeId="0">
      <text>
        <t>不需要的列可以直接删除。不能改成字段库里没有的名字。</t>
      </text>
    </comment>
    <comment ref="J2" authorId="0" shapeId="0">
      <text>
        <t>不需要的列可以直接删除。不能改成字段库里没有的名字。</t>
      </text>
    </comment>
    <comment ref="K2" authorId="0" shapeId="0">
      <text>
        <t>不需要的列可以直接删除。不能改成字段库里没有的名字。</t>
      </text>
    </comment>
    <comment ref="L2" authorId="0" shapeId="0">
      <text>
        <t>不需要的列可以直接删除。不能改成字段库里没有的名字。</t>
      </text>
    </comment>
    <comment ref="M2" authorId="0" shapeId="0">
      <text>
        <t>不需要的列可以直接删除。不能改成字段库里没有的名字。</t>
      </text>
    </comment>
    <comment ref="N2" authorId="0" shapeId="0">
      <text>
        <t>不需要的列可以直接删除。不能改成字段库里没有的名字。</t>
      </text>
    </comment>
    <comment ref="O2" authorId="0" shapeId="0">
      <text>
        <t>不需要的列可以直接删除。不能改成字段库里没有的名字。</t>
      </text>
    </comment>
    <comment ref="P2" authorId="0" shapeId="0">
      <text>
        <t>不需要的列可以直接删除。不能改成字段库里没有的名字。</t>
      </text>
    </comment>
    <comment ref="A5" authorId="0" shapeId="0">
      <text>
        <t>不需要的列可以直接删除。不能改成字段库里没有的名字。</t>
      </text>
    </comment>
    <comment ref="B5" authorId="0" shapeId="0">
      <text>
        <t>关键字段，不能删除这一列。单元格可以按行留空的，只限于非关键列。</t>
      </text>
    </comment>
    <comment ref="C5" authorId="0" shapeId="0">
      <text>
        <t>不需要的列可以直接删除。不能改成字段库里没有的名字。</t>
      </text>
    </comment>
    <comment ref="D5" authorId="0" shapeId="0">
      <text>
        <t>不需要的列可以直接删除。不能改成字段库里没有的名字。</t>
      </text>
    </comment>
    <comment ref="E5" authorId="0" shapeId="0">
      <text>
        <t>不需要的列可以直接删除。不能改成字段库里没有的名字。</t>
      </text>
    </comment>
    <comment ref="F5" authorId="0" shapeId="0">
      <text>
        <t>不需要的列可以直接删除。不能改成字段库里没有的名字。</t>
      </text>
    </comment>
    <comment ref="G5" authorId="0" shapeId="0">
      <text>
        <t>关键字段，不能删除这一列。单元格可以按行留空的，只限于非关键列。</t>
      </text>
    </comment>
    <comment ref="H5" authorId="0" shapeId="0">
      <text>
        <t>关键字段，不能删除这一列。单元格可以按行留空的，只限于非关键列。</t>
      </text>
    </comment>
    <comment ref="I5" authorId="0" shapeId="0">
      <text>
        <t>不需要的列可以直接删除。不能改成字段库里没有的名字。</t>
      </text>
    </comment>
    <comment ref="A8" authorId="0" shapeId="0">
      <text>
        <t>不需要的列可以直接删除。不能改成字段库里没有的名字。</t>
      </text>
    </comment>
    <comment ref="B8" authorId="0" shapeId="0">
      <text>
        <t>关键字段，不能删除这一列。单元格可以按行留空的，只限于非关键列。</t>
      </text>
    </comment>
    <comment ref="C8" authorId="0" shapeId="0">
      <text>
        <t>不需要的列可以直接删除。不能改成字段库里没有的名字。</t>
      </text>
    </comment>
    <comment ref="D8" authorId="0" shapeId="0">
      <text>
        <t>不需要的列可以直接删除。不能改成字段库里没有的名字。</t>
      </text>
    </comment>
    <comment ref="E8" authorId="0" shapeId="0">
      <text>
        <t>不需要的列可以直接删除。不能改成字段库里没有的名字。</t>
      </text>
    </comment>
    <comment ref="F8" authorId="0" shapeId="0">
      <text>
        <t>不需要的列可以直接删除。不能改成字段库里没有的名字。</t>
      </text>
    </comment>
    <comment ref="G8" authorId="0" shapeId="0">
      <text>
        <t>不需要的列可以直接删除。不能改成字段库里没有的名字。</t>
      </text>
    </comment>
  </commentList>
</comments>
</file>

<file path=xl/comments/comment18.xml><?xml version="1.0" encoding="utf-8"?>
<comments xmlns="http://schemas.openxmlformats.org/spreadsheetml/2006/main">
  <authors>
    <author>传输</author>
  </authors>
  <commentList>
    <comment ref="A4" authorId="0" shapeId="0">
      <text>
        <t>关键字段，不能删除这一列。单元格可以按行留空的，只限于非关键列。</t>
      </text>
    </comment>
    <comment ref="B4" authorId="0" shapeId="0">
      <text>
        <t>不需要的列可以直接删除。不能改成字段库里没有的名字。</t>
      </text>
    </comment>
    <comment ref="C4" authorId="0" shapeId="0">
      <text>
        <t>不需要的列可以直接删除。不能改成字段库里没有的名字。</t>
      </text>
    </comment>
    <comment ref="D4" authorId="0" shapeId="0">
      <text>
        <t>不需要的列可以直接删除。不能改成字段库里没有的名字。</t>
      </text>
    </comment>
    <comment ref="E4" authorId="0" shapeId="0">
      <text>
        <t>不需要的列可以直接删除。不能改成字段库里没有的名字。</t>
      </text>
    </comment>
    <comment ref="F4" authorId="0" shapeId="0">
      <text>
        <t>不需要的列可以直接删除。不能改成字段库里没有的名字。</t>
      </text>
    </comment>
    <comment ref="G4" authorId="0" shapeId="0">
      <text>
        <t>不需要的列可以直接删除。不能改成字段库里没有的名字。</t>
      </text>
    </comment>
    <comment ref="H4" authorId="0" shapeId="0">
      <text>
        <t>不需要的列可以直接删除。不能改成字段库里没有的名字。</t>
      </text>
    </comment>
    <comment ref="I4" authorId="0" shapeId="0">
      <text>
        <t>不需要的列可以直接删除。不能改成字段库里没有的名字。</t>
      </text>
    </comment>
    <comment ref="J4" authorId="0" shapeId="0">
      <text>
        <t>不需要的列可以直接删除。不能改成字段库里没有的名字。</t>
      </text>
    </comment>
    <comment ref="K4" authorId="0" shapeId="0">
      <text>
        <t>不需要的列可以直接删除。不能改成字段库里没有的名字。</t>
      </text>
    </comment>
    <comment ref="L4" authorId="0" shapeId="0">
      <text>
        <t>不需要的列可以直接删除。不能改成字段库里没有的名字。</t>
      </text>
    </comment>
    <comment ref="M4" authorId="0" shapeId="0">
      <text>
        <t>不需要的列可以直接删除。不能改成字段库里没有的名字。</t>
      </text>
    </comment>
    <comment ref="N4" authorId="0" shapeId="0">
      <text>
        <t>不需要的列可以直接删除。不能改成字段库里没有的名字。</t>
      </text>
    </comment>
    <comment ref="O4" authorId="0" shapeId="0">
      <text>
        <t>不需要的列可以直接删除。不能改成字段库里没有的名字。</t>
      </text>
    </comment>
    <comment ref="P4" authorId="0" shapeId="0">
      <text>
        <t>不需要的列可以直接删除。不能改成字段库里没有的名字。</t>
      </text>
    </comment>
    <comment ref="Q4" authorId="0" shapeId="0">
      <text>
        <t>不需要的列可以直接删除。不能改成字段库里没有的名字。</t>
      </text>
    </comment>
    <comment ref="R4" authorId="0" shapeId="0">
      <text>
        <t>不需要的列可以直接删除。不能改成字段库里没有的名字。</t>
      </text>
    </comment>
    <comment ref="S4" authorId="0" shapeId="0">
      <text>
        <t>不需要的列可以直接删除。不能改成字段库里没有的名字。</t>
      </text>
    </comment>
    <comment ref="T4" authorId="0" shapeId="0">
      <text>
        <t>不需要的列可以直接删除。不能改成字段库里没有的名字。</t>
      </text>
    </comment>
    <comment ref="U4" authorId="0" shapeId="0">
      <text>
        <t>不需要的列可以直接删除。不能改成字段库里没有的名字。</t>
      </text>
    </comment>
    <comment ref="V4" authorId="0" shapeId="0">
      <text>
        <t>不需要的列可以直接删除。不能改成字段库里没有的名字。</t>
      </text>
    </comment>
    <comment ref="W4" authorId="0" shapeId="0">
      <text>
        <t>入库带出的对照列。这一列不会回写。</t>
      </text>
    </comment>
    <comment ref="X4" authorId="0" shapeId="0">
      <text>
        <t>入库带出的对照列。这一列不会回写。</t>
      </text>
    </comment>
    <comment ref="Y4" authorId="0" shapeId="0">
      <text>
        <t>入库带出的对照列。这一列不会回写。</t>
      </text>
    </comment>
    <comment ref="Z4" authorId="0" shapeId="0">
      <text>
        <t>入库带出的对照列。这一列不会回写。</t>
      </text>
    </comment>
    <comment ref="AA4" authorId="0" shapeId="0">
      <text>
        <t>入库带出的对照列。这一列不会回写。</t>
      </text>
    </comment>
    <comment ref="AB4" authorId="0" shapeId="0">
      <text>
        <t>入库带出的对照列。这一列不会回写。</t>
      </text>
    </comment>
    <comment ref="AC4" authorId="0" shapeId="0">
      <text>
        <t>入库带出的对照列。这一列不会回写。</t>
      </text>
    </comment>
    <comment ref="AD4" authorId="0" shapeId="0">
      <text>
        <t>入库带出的对照列。这一列不会回写。</t>
      </text>
    </comment>
    <comment ref="AE4" authorId="0" shapeId="0">
      <text>
        <t>入库带出的对照列。这一列不会回写。</t>
      </text>
    </comment>
    <comment ref="AF4" authorId="0" shapeId="0">
      <text>
        <t>不需要的列可以直接删除。不能改成字段库里没有的名字。</t>
      </text>
    </comment>
    <comment ref="AG4" authorId="0" shapeId="0">
      <text>
        <t>不需要的列可以直接删除。不能改成字段库里没有的名字。</t>
      </text>
    </comment>
    <comment ref="AH4" authorId="0" shapeId="0">
      <text>
        <t>不需要的列可以直接删除。不能改成字段库里没有的名字。</t>
      </text>
    </comment>
  </commentList>
</comments>
</file>

<file path=xl/comments/comment19.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不需要的列可以直接删除。不能改成字段库里没有的名字。</t>
      </text>
    </comment>
    <comment ref="G1" authorId="0" shapeId="0">
      <text>
        <t>不需要的列可以直接删除。不能改成字段库里没有的名字。</t>
      </text>
    </comment>
    <comment ref="H1" authorId="0" shapeId="0">
      <text>
        <t>不需要的列可以直接删除。不能改成字段库里没有的名字。</t>
      </text>
    </comment>
    <comment ref="I1" authorId="0" shapeId="0">
      <text>
        <t>不需要的列可以直接删除。不能改成字段库里没有的名字。</t>
      </text>
    </comment>
    <comment ref="J1" authorId="0" shapeId="0">
      <text>
        <t>不需要的列可以直接删除。不能改成字段库里没有的名字。</t>
      </text>
    </comment>
  </commentList>
</comments>
</file>

<file path=xl/comments/comment20.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不需要的列可以直接删除。不能改成字段库里没有的名字。</t>
      </text>
    </comment>
    <comment ref="E1" authorId="0" shapeId="0">
      <text>
        <t>不需要的列可以直接删除。不能改成字段库里没有的名字。</t>
      </text>
    </comment>
    <comment ref="F1" authorId="0" shapeId="0">
      <text>
        <t>不需要的列可以直接删除。不能改成字段库里没有的名字。</t>
      </text>
    </comment>
    <comment ref="G1" authorId="0" shapeId="0">
      <text>
        <t>不需要的列可以直接删除。不能改成字段库里没有的名字。</t>
      </text>
    </comment>
  </commentList>
</comments>
</file>

<file path=xl/comments/comment21.xml><?xml version="1.0" encoding="utf-8"?>
<comments xmlns="http://schemas.openxmlformats.org/spreadsheetml/2006/main">
  <authors>
    <author>传输</author>
  </authors>
  <commentList>
    <comment ref="A1" authorId="0" shapeId="0">
      <text>
        <t>关键字段，不能删除这一列。单元格可以按行留空的，只限于非关键列。</t>
      </text>
    </comment>
    <comment ref="B1" authorId="0" shapeId="0">
      <text>
        <t>关键字段，不能删除这一列。单元格可以按行留空的，只限于非关键列。</t>
      </text>
    </comment>
    <comment ref="C1" authorId="0" shapeId="0">
      <text>
        <t>不需要的列可以直接删除。不能改成字段库里没有的名字。</t>
      </text>
    </comment>
    <comment ref="D1" authorId="0" shapeId="0">
      <text>
        <t>关键字段，不能删除这一列。单元格可以按行留空的，只限于非关键列。</t>
      </text>
    </comment>
    <comment ref="E1" authorId="0" shapeId="0">
      <text>
        <t>不需要的列可以直接删除。不能改成字段库里没有的名字。</t>
      </text>
    </comment>
  </commentList>
</comment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mailto:zpynwz@163.com" TargetMode="External" Id="rId1"/><Relationship Type="http://schemas.openxmlformats.org/officeDocument/2006/relationships/hyperlink" Target="mailto:330198873@qq.com" TargetMode="External" Id="rId2"/><Relationship Type="http://schemas.openxmlformats.org/officeDocument/2006/relationships/comments" Target="/xl/comments/comment1.xml" Id="comments"/><Relationship Type="http://schemas.openxmlformats.org/officeDocument/2006/relationships/vmlDrawing" Target="/xl/drawings/vmlDrawing2.vml" Id="anysvml"/></Relationships>
</file>

<file path=xl/worksheets/_rels/sheet5.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6.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5.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6.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7.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8.vml" Id="anysvml"/></Relationships>
</file>

<file path=xl/worksheets/_rels/sheet11.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9.vml" Id="anysvml"/></Relationships>
</file>

<file path=xl/worksheets/_rels/sheet12.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0.vml" Id="anysvml"/></Relationships>
</file>

<file path=xl/worksheets/_rels/sheet13.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1.vml" Id="anysvml"/></Relationships>
</file>

<file path=xl/worksheets/_rels/sheet14.xml.rels><Relationships xmlns="http://schemas.openxmlformats.org/package/2006/relationships"><Relationship Type="http://schemas.openxmlformats.org/officeDocument/2006/relationships/comments" Target="/xl/comments/comment11.xml" Id="comments"/><Relationship Type="http://schemas.openxmlformats.org/officeDocument/2006/relationships/vmlDrawing" Target="/xl/drawings/vmlDrawing12.vml" Id="anysvml"/></Relationships>
</file>

<file path=xl/worksheets/_rels/sheet15.xml.rels><Relationships xmlns="http://schemas.openxmlformats.org/package/2006/relationships"><Relationship Type="http://schemas.openxmlformats.org/officeDocument/2006/relationships/comments" Target="/xl/comments/comment12.xml" Id="comments"/><Relationship Type="http://schemas.openxmlformats.org/officeDocument/2006/relationships/vmlDrawing" Target="/xl/drawings/vmlDrawing13.vml" Id="anysvml"/></Relationships>
</file>

<file path=xl/worksheets/_rels/sheet16.xml.rels><Relationships xmlns="http://schemas.openxmlformats.org/package/2006/relationships"><Relationship Type="http://schemas.openxmlformats.org/officeDocument/2006/relationships/comments" Target="/xl/comments/comment13.xml" Id="comments"/><Relationship Type="http://schemas.openxmlformats.org/officeDocument/2006/relationships/vmlDrawing" Target="/xl/drawings/vmlDrawing14.vml" Id="anysvml"/></Relationships>
</file>

<file path=xl/worksheets/_rels/sheet17.xml.rels><Relationships xmlns="http://schemas.openxmlformats.org/package/2006/relationships"><Relationship Type="http://schemas.openxmlformats.org/officeDocument/2006/relationships/comments" Target="/xl/comments/comment14.xml" Id="comments"/><Relationship Type="http://schemas.openxmlformats.org/officeDocument/2006/relationships/vmlDrawing" Target="/xl/drawings/vmlDrawing15.vml" Id="anysvml"/></Relationships>
</file>

<file path=xl/worksheets/_rels/sheet18.xml.rels><Relationships xmlns="http://schemas.openxmlformats.org/package/2006/relationships"><Relationship Type="http://schemas.openxmlformats.org/officeDocument/2006/relationships/comments" Target="/xl/comments/comment15.xml" Id="comments"/><Relationship Type="http://schemas.openxmlformats.org/officeDocument/2006/relationships/vmlDrawing" Target="/xl/drawings/vmlDrawing16.vml" Id="anysvml"/></Relationships>
</file>

<file path=xl/worksheets/_rels/sheet19.xml.rels><Relationships xmlns="http://schemas.openxmlformats.org/package/2006/relationships"><Relationship Type="http://schemas.openxmlformats.org/officeDocument/2006/relationships/comments" Target="/xl/comments/comment16.xml" Id="comments"/><Relationship Type="http://schemas.openxmlformats.org/officeDocument/2006/relationships/vmlDrawing" Target="/xl/drawings/vmlDrawing17.vml" Id="anysvml"/></Relationships>
</file>

<file path=xl/worksheets/_rels/sheet20.xml.rels><Relationships xmlns="http://schemas.openxmlformats.org/package/2006/relationships"><Relationship Type="http://schemas.openxmlformats.org/officeDocument/2006/relationships/comments" Target="/xl/comments/comment17.xml" Id="comments"/><Relationship Type="http://schemas.openxmlformats.org/officeDocument/2006/relationships/vmlDrawing" Target="/xl/drawings/vmlDrawing18.vml" Id="anysvml"/></Relationships>
</file>

<file path=xl/worksheets/_rels/sheet21.xml.rels><Relationships xmlns="http://schemas.openxmlformats.org/package/2006/relationships"><Relationship Type="http://schemas.openxmlformats.org/officeDocument/2006/relationships/comments" Target="/xl/comments/comment18.xml" Id="comments"/><Relationship Type="http://schemas.openxmlformats.org/officeDocument/2006/relationships/vmlDrawing" Target="/xl/drawings/vmlDrawing19.vml" Id="anysvml"/></Relationships>
</file>

<file path=xl/worksheets/_rels/sheet22.xml.rels><Relationships xmlns="http://schemas.openxmlformats.org/package/2006/relationships"><Relationship Type="http://schemas.openxmlformats.org/officeDocument/2006/relationships/comments" Target="/xl/comments/comment19.xml" Id="comments"/><Relationship Type="http://schemas.openxmlformats.org/officeDocument/2006/relationships/vmlDrawing" Target="/xl/drawings/vmlDrawing20.vml" Id="anysvml"/></Relationships>
</file>

<file path=xl/worksheets/_rels/sheet23.xml.rels><Relationships xmlns="http://schemas.openxmlformats.org/package/2006/relationships"><Relationship Type="http://schemas.openxmlformats.org/officeDocument/2006/relationships/comments" Target="/xl/comments/comment20.xml" Id="comments"/><Relationship Type="http://schemas.openxmlformats.org/officeDocument/2006/relationships/vmlDrawing" Target="/xl/drawings/vmlDrawing21.vml" Id="anysvml"/></Relationships>
</file>

<file path=xl/worksheets/_rels/sheet24.xml.rels><Relationships xmlns="http://schemas.openxmlformats.org/package/2006/relationships"><Relationship Type="http://schemas.openxmlformats.org/officeDocument/2006/relationships/comments" Target="/xl/comments/comment21.xml" Id="comments"/><Relationship Type="http://schemas.openxmlformats.org/officeDocument/2006/relationships/vmlDrawing" Target="/xl/drawings/vmlDrawing22.vml" Id="anysvml"/></Relationships>
</file>

<file path=xl/worksheets/sheet1.xml><?xml version="1.0" encoding="utf-8"?>
<worksheet xmlns="http://schemas.openxmlformats.org/spreadsheetml/2006/main">
  <sheetPr codeName="Sheet1">
    <outlinePr summaryBelow="1" summaryRight="1"/>
    <pageSetUpPr/>
  </sheetPr>
  <dimension ref="A1:F24"/>
  <sheetViews>
    <sheetView showGridLines="0" workbookViewId="0">
      <selection activeCell="C24" sqref="C24"/>
    </sheetView>
  </sheetViews>
  <sheetFormatPr baseColWidth="8" defaultColWidth="9" defaultRowHeight="13.5"/>
  <cols>
    <col width="18" customWidth="1" min="1" max="1"/>
    <col width="42" customWidth="1" min="2" max="2"/>
  </cols>
  <sheetData>
    <row r="1" ht="22.2" customHeight="1">
      <c r="A1" s="69" t="inlineStr">
        <is>
          <t>合同系统批量传输</t>
        </is>
      </c>
    </row>
    <row r="2">
      <c r="A2" t="inlineStr">
        <is>
          <t>服务器</t>
        </is>
      </c>
      <c r="B2" t="inlineStr">
        <is>
          <t>http://127.0.0.1:8001</t>
        </is>
      </c>
    </row>
    <row r="3">
      <c r="A3" t="inlineStr">
        <is>
          <t>用户名</t>
        </is>
      </c>
      <c r="B3" t="inlineStr">
        <is>
          <t>admin</t>
        </is>
      </c>
    </row>
    <row r="4">
      <c r="A4" t="inlineStr">
        <is>
          <t>密码</t>
        </is>
      </c>
      <c r="B4" s="35" t="n">
        <v>123456</v>
      </c>
    </row>
    <row r="5">
      <c r="A5" t="inlineStr">
        <is>
          <t>公司</t>
        </is>
      </c>
    </row>
    <row r="6">
      <c r="A6" t="inlineStr">
        <is>
          <t>登录状态</t>
        </is>
      </c>
      <c r="B6" t="inlineStr">
        <is>
          <t>已登录 admin</t>
        </is>
      </c>
    </row>
    <row r="7">
      <c r="A7" t="inlineStr">
        <is>
          <t>采购计划方式</t>
        </is>
      </c>
      <c r="B7" t="inlineStr">
        <is>
          <t>按物料编号更新</t>
        </is>
      </c>
    </row>
    <row r="8">
      <c r="A8" t="inlineStr">
        <is>
          <t>宏版本</t>
        </is>
      </c>
      <c r="B8" t="inlineStr">
        <is>
          <t>2026-10-09-1</t>
        </is>
      </c>
    </row>
    <row r="9">
      <c r="A9" t="inlineStr">
        <is>
          <t>用法</t>
        </is>
      </c>
    </row>
    <row r="10" ht="19.95" customHeight="1">
      <c r="A10" t="inlineStr">
        <is>
          <t>1. 填写服务器、用户名、密码。公司可填编号、全称或简称；留空则用登录后的默认公司。</t>
        </is>
      </c>
    </row>
    <row r="11" ht="31.95" customHeight="1">
      <c r="A11" s="70" t="inlineStr">
        <is>
          <t>2. 打开本文件时选择启用宏。先点「登录」，再点「导入当前工作表」或「按顺序导入全部」。</t>
        </is>
      </c>
    </row>
    <row r="12" ht="31.95" customHeight="1">
      <c r="A12" s="70" t="inlineStr">
        <is>
          <t>3. 每张表第 1 行是字段。红色列是关键字段，不能删。其余列可以整列删除。不能把表头改成字段库里没有的名字。</t>
        </is>
      </c>
    </row>
    <row r="13" ht="31.95" customHeight="1">
      <c r="A13" s="70" t="inlineStr">
        <is>
          <t>4. 采购合同、销售合同：第2行是主表字段，第3行是这一份合同。在A列找到「物料明细」和「阶段付款」。物料明细的下一行是物料字段，再下一行起到阶段付款的上一行是物料。阶段付款的下一行是阶段字段，再下一行起到A列最后一个有内容的单元格是付款阶段。一份合同至少一行物料、一行阶段。</t>
        </is>
      </c>
    </row>
    <row r="14" ht="31.95" customHeight="1">
      <c r="A14" s="70" t="inlineStr">
        <is>
          <t>5. 合同名称、业务员可以空着：名称空着时用合同编号，业务员空着时用当前登录人。供应商或客户必须已经在客商里。</t>
        </is>
      </c>
    </row>
    <row r="15" ht="31.95" customHeight="1">
      <c r="A15" s="70" t="inlineStr">
        <is>
          <t>6. 阶段只填比例时，金额按比例分摊；比例都空着则平均分摊。到货阶段或发货阶段填「是」的那一行，作为到货或发货阶段。</t>
        </is>
      </c>
    </row>
    <row r="16" ht="31.95" customHeight="1">
      <c r="A16" s="70" t="inlineStr">
        <is>
          <t>7. 报关物料清单的数据来自采购入库。点「从入库载入」后，只填写还缺的列。除物料编号外，空列不会覆盖系统原值。</t>
        </is>
      </c>
    </row>
    <row r="17" ht="31.95" customHeight="1">
      <c r="A17" s="70" t="inlineStr">
        <is>
          <t>8. 导入顺序是：公司、合同类型、资金账户、客商、项目、HS Code、汇率、商品、采购计划、采购合同、销售合同、订单、发票、收付款、入仓单、报关物料。空表会跳过。</t>
        </is>
      </c>
    </row>
    <row r="18" ht="31.95" customHeight="1">
      <c r="A18" s="70" t="inlineStr">
        <is>
          <t>9. 结果写在「导入结果」。字段是否允许，以「字段库」为准，和系统表单字段一致。</t>
        </is>
      </c>
    </row>
    <row r="23">
      <c r="B23" t="inlineStr">
        <is>
          <t>Lingong Heavy Machinery Co., Ltd</t>
        </is>
      </c>
      <c r="C23">
        <f>UPPER(B23)</f>
        <v/>
      </c>
    </row>
    <row r="24">
      <c r="A24" t="inlineStr">
        <is>
          <t>10. 「API接口清单」「字段清单」「梳理说明」是当前常用有数据表单的接口/字段梳理，只读，不参与导入。</t>
        </is>
      </c>
    </row>
  </sheetData>
  <mergeCells count="8">
    <mergeCell ref="A16:F16"/>
    <mergeCell ref="A11:F11"/>
    <mergeCell ref="A13:F13"/>
    <mergeCell ref="A14:F14"/>
    <mergeCell ref="A17:F17"/>
    <mergeCell ref="A12:F12"/>
    <mergeCell ref="A18:F18"/>
    <mergeCell ref="A15:F15"/>
  </mergeCells>
  <dataValidations count="1">
    <dataValidation sqref="B7" showDropDown="0" showInputMessage="0" showErrorMessage="0" allowBlank="0" type="list">
      <formula1>"按物料编号更新,清空后重新导入,追加"</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codeName="Sheet23" filterMode="1">
    <outlinePr summaryBelow="1" summaryRight="1"/>
    <pageSetUpPr/>
  </sheetPr>
  <dimension ref="A1:X95"/>
  <sheetViews>
    <sheetView zoomScale="85" zoomScaleNormal="85" workbookViewId="0">
      <pane ySplit="1" topLeftCell="A2" activePane="bottomLeft" state="frozen"/>
      <selection activeCell="A1" sqref="A1"/>
      <selection pane="bottomLeft" activeCell="E92" sqref="E92"/>
    </sheetView>
  </sheetViews>
  <sheetFormatPr baseColWidth="8" defaultColWidth="9" defaultRowHeight="25.05" customHeight="1"/>
  <cols>
    <col width="9" customWidth="1" style="44" min="1" max="1"/>
    <col width="43.4416666666667" customWidth="1" style="44" min="2" max="2"/>
    <col width="18" customWidth="1" style="44" min="3" max="20"/>
    <col width="9" customWidth="1" style="44" min="21" max="16384"/>
  </cols>
  <sheetData>
    <row r="1">
      <c r="A1" s="65" t="inlineStr">
        <is>
          <t>客商类型</t>
        </is>
      </c>
      <c r="B1" s="65" t="inlineStr">
        <is>
          <t>名称</t>
        </is>
      </c>
      <c r="C1" s="65" t="inlineStr">
        <is>
          <t>编码</t>
        </is>
      </c>
      <c r="D1" s="66" t="inlineStr">
        <is>
          <t>简称</t>
        </is>
      </c>
      <c r="E1" s="66" t="inlineStr">
        <is>
          <t>联系人</t>
        </is>
      </c>
      <c r="F1" s="66" t="inlineStr">
        <is>
          <t>联系电话</t>
        </is>
      </c>
      <c r="G1" s="66" t="inlineStr">
        <is>
          <t>手机</t>
        </is>
      </c>
      <c r="H1" s="66" t="inlineStr">
        <is>
          <t>邮箱</t>
        </is>
      </c>
      <c r="I1" s="66" t="inlineStr">
        <is>
          <t>业务员</t>
        </is>
      </c>
      <c r="J1" s="66" t="inlineStr">
        <is>
          <t>供应商类别</t>
        </is>
      </c>
      <c r="K1" s="66" t="inlineStr">
        <is>
          <t>纳税人识别号</t>
        </is>
      </c>
      <c r="L1" s="66" t="inlineStr">
        <is>
          <t>默认税率</t>
        </is>
      </c>
      <c r="M1" s="66" t="inlineStr">
        <is>
          <t>开票名称</t>
        </is>
      </c>
      <c r="N1" s="66" t="inlineStr">
        <is>
          <t>开户银行</t>
        </is>
      </c>
      <c r="O1" s="66" t="inlineStr">
        <is>
          <t>账户名称</t>
        </is>
      </c>
      <c r="P1" s="66" t="inlineStr">
        <is>
          <t>银行账号</t>
        </is>
      </c>
      <c r="Q1" s="66" t="inlineStr">
        <is>
          <t>开户支行</t>
        </is>
      </c>
      <c r="R1" s="66" t="inlineStr">
        <is>
          <t>开票电话</t>
        </is>
      </c>
      <c r="S1" s="66" t="inlineStr">
        <is>
          <t>开票地址</t>
        </is>
      </c>
      <c r="T1" s="66" t="inlineStr">
        <is>
          <t>通讯地址</t>
        </is>
      </c>
      <c r="U1" s="66" t="inlineStr">
        <is>
          <t>法人代表</t>
        </is>
      </c>
      <c r="V1" s="66" t="inlineStr">
        <is>
          <t>委托代理人</t>
        </is>
      </c>
      <c r="W1" s="66" t="inlineStr">
        <is>
          <t>状态</t>
        </is>
      </c>
      <c r="X1" s="66" t="inlineStr">
        <is>
          <t>备注</t>
        </is>
      </c>
    </row>
    <row r="2" hidden="1" customFormat="1" s="64">
      <c r="A2" s="64" t="inlineStr">
        <is>
          <t>供应商</t>
        </is>
      </c>
      <c r="B2" s="64" t="inlineStr">
        <is>
          <t>康明斯发动机（北京）有限公司</t>
        </is>
      </c>
      <c r="C2" s="64" t="inlineStr">
        <is>
          <t>Supplier_001</t>
        </is>
      </c>
      <c r="D2" s="64" t="inlineStr">
        <is>
          <t>康明斯北京</t>
        </is>
      </c>
      <c r="E2" s="64" t="inlineStr">
        <is>
          <t>李薇</t>
        </is>
      </c>
      <c r="F2" s="64" t="inlineStr">
        <is>
          <t>13911028233</t>
        </is>
      </c>
      <c r="G2" s="64" t="inlineStr">
        <is>
          <t>13911028233</t>
        </is>
      </c>
      <c r="H2" s="64" t="n"/>
      <c r="K2" s="64" t="inlineStr">
        <is>
          <t>9111030260002177XE</t>
        </is>
      </c>
      <c r="L2" s="64" t="n">
        <v>13</v>
      </c>
      <c r="M2" s="64" t="inlineStr">
        <is>
          <t>康明斯发动机（北京）有限公司</t>
        </is>
      </c>
      <c r="N2" s="64" t="inlineStr">
        <is>
          <t>汇丰银行（中国）有限公司北京分行</t>
        </is>
      </c>
      <c r="O2" s="64" t="inlineStr">
        <is>
          <t>康明斯发动机（北京）有限公司</t>
        </is>
      </c>
      <c r="P2" s="64" t="inlineStr">
        <is>
          <t>626110324011</t>
        </is>
      </c>
      <c r="Q2" s="64" t="inlineStr">
        <is>
          <t>汇丰银行（中国）有限公司北京分行</t>
        </is>
      </c>
      <c r="R2" s="64" t="inlineStr">
        <is>
          <t>13911028233</t>
        </is>
      </c>
      <c r="S2" s="64" t="inlineStr">
        <is>
          <t>北京市北京经济技术开发区万源街 8 号</t>
        </is>
      </c>
      <c r="T2" s="64" t="inlineStr">
        <is>
          <t>北京市北京经济技术开发区万源街 8 号</t>
        </is>
      </c>
    </row>
    <row r="3" hidden="1" customFormat="1" s="64">
      <c r="A3" s="64" t="inlineStr">
        <is>
          <t>供应商</t>
        </is>
      </c>
      <c r="B3" s="64" t="inlineStr">
        <is>
          <t>庆铃五十铃（重庆）汽车销售服务有限公司</t>
        </is>
      </c>
      <c r="C3" s="64" t="inlineStr">
        <is>
          <t>Supplier_002</t>
        </is>
      </c>
      <c r="D3" s="64" t="inlineStr">
        <is>
          <t>庆铃五十铃重庆</t>
        </is>
      </c>
      <c r="E3" s="64" t="n"/>
      <c r="F3" s="64" t="inlineStr">
        <is>
          <t>023-68408681</t>
        </is>
      </c>
      <c r="G3" s="64" t="inlineStr">
        <is>
          <t>023-68408681</t>
        </is>
      </c>
      <c r="H3" s="64" t="n"/>
      <c r="K3" s="71" t="inlineStr">
        <is>
          <t>915001076786808478</t>
        </is>
      </c>
      <c r="L3" s="64" t="n">
        <v>13</v>
      </c>
      <c r="M3" s="64" t="inlineStr">
        <is>
          <t>庆铃五十铃（重庆）汽车销售服务有限公司</t>
        </is>
      </c>
      <c r="N3" s="64" t="inlineStr">
        <is>
          <t>建行重庆九龙坡九龙园支行</t>
        </is>
      </c>
      <c r="O3" s="64" t="inlineStr">
        <is>
          <t>庆铃五十铃（重庆）汽车销售服务有限公司</t>
        </is>
      </c>
      <c r="P3" s="71" t="inlineStr">
        <is>
          <t>50001030041052504265</t>
        </is>
      </c>
      <c r="Q3" s="64" t="inlineStr">
        <is>
          <t>建行重庆九龙坡九龙园支行</t>
        </is>
      </c>
      <c r="R3" s="64" t="inlineStr">
        <is>
          <t>023-68408681</t>
        </is>
      </c>
      <c r="S3" s="64" t="inlineStr">
        <is>
          <t>重庆市九龙坡区西彭镇永平路5号1、2幢</t>
        </is>
      </c>
      <c r="T3" s="64" t="inlineStr">
        <is>
          <t>重庆市九龙坡区西彭镇永平路5号1、2幢</t>
        </is>
      </c>
    </row>
    <row r="4" hidden="1" customFormat="1" s="64">
      <c r="A4" s="64" t="inlineStr">
        <is>
          <t>供应商</t>
        </is>
      </c>
      <c r="B4" s="64" t="inlineStr">
        <is>
          <t>重庆市新赛利汽车销售有限公司</t>
        </is>
      </c>
      <c r="C4" s="64" t="inlineStr">
        <is>
          <t>Supplier_003</t>
        </is>
      </c>
      <c r="D4" s="64" t="inlineStr">
        <is>
          <t>重庆新赛利</t>
        </is>
      </c>
      <c r="E4" s="64" t="n"/>
      <c r="F4" s="64" t="inlineStr">
        <is>
          <t>023-47888611</t>
        </is>
      </c>
      <c r="G4" s="64" t="inlineStr">
        <is>
          <t>023-47888611</t>
        </is>
      </c>
      <c r="H4" s="64" t="n"/>
      <c r="K4" s="64" t="inlineStr">
        <is>
          <t>91500116MA5U99D93B</t>
        </is>
      </c>
      <c r="L4" s="64" t="n">
        <v>13</v>
      </c>
      <c r="M4" s="64" t="inlineStr">
        <is>
          <t>重庆市新赛利汽车销售有限公司</t>
        </is>
      </c>
      <c r="N4" s="64" t="inlineStr">
        <is>
          <t>农业银行凤鸣山支行</t>
        </is>
      </c>
      <c r="O4" s="64" t="inlineStr">
        <is>
          <t>重庆市新赛利汽车销售有限公司</t>
        </is>
      </c>
      <c r="P4" s="71" t="inlineStr">
        <is>
          <t>31040201040011641</t>
        </is>
      </c>
      <c r="Q4" s="64" t="inlineStr">
        <is>
          <t>农业银行凤鸣山支行</t>
        </is>
      </c>
      <c r="R4" s="64" t="inlineStr">
        <is>
          <t>023-47888611</t>
        </is>
      </c>
      <c r="S4" s="64" t="inlineStr">
        <is>
          <t>重庆市江津双福新区和润国际汽摩城D12-1号</t>
        </is>
      </c>
      <c r="T4" s="64" t="inlineStr">
        <is>
          <t>重庆市江津双福新区和润国际汽摩城D12-1号</t>
        </is>
      </c>
    </row>
    <row r="5" hidden="1" customFormat="1" s="64">
      <c r="A5" s="64" t="inlineStr">
        <is>
          <t>供应商</t>
        </is>
      </c>
      <c r="B5" s="64" t="inlineStr">
        <is>
          <t>广西柳工机械股份有限公司</t>
        </is>
      </c>
      <c r="C5" s="64" t="inlineStr">
        <is>
          <t>Supplier_004</t>
        </is>
      </c>
      <c r="D5" s="64" t="inlineStr">
        <is>
          <t>广西柳工</t>
        </is>
      </c>
      <c r="E5" s="64" t="inlineStr">
        <is>
          <t>肖梦梦</t>
        </is>
      </c>
      <c r="F5" s="64" t="n"/>
      <c r="K5" s="64" t="inlineStr">
        <is>
          <t>91450200198229141F</t>
        </is>
      </c>
      <c r="L5" s="64" t="n">
        <v>13</v>
      </c>
      <c r="M5" s="64" t="inlineStr">
        <is>
          <t>广西柳工机械股份有限公司</t>
        </is>
      </c>
      <c r="N5" s="64" t="inlineStr">
        <is>
          <t>工行柳州市和平支行</t>
        </is>
      </c>
      <c r="O5" s="64" t="inlineStr">
        <is>
          <t>广西柳工机械股份有限公司</t>
        </is>
      </c>
      <c r="P5" s="71" t="inlineStr">
        <is>
          <t>2105450819300009743</t>
        </is>
      </c>
      <c r="Q5" s="64" t="inlineStr">
        <is>
          <t>工行柳州市和平支行</t>
        </is>
      </c>
      <c r="S5" s="64" t="inlineStr">
        <is>
          <t>广西壮族自治区柳州市柳太路1号</t>
        </is>
      </c>
      <c r="T5" s="64" t="inlineStr">
        <is>
          <t>广西壮族自治区柳州市柳太路1号</t>
        </is>
      </c>
    </row>
    <row r="6" hidden="1" customFormat="1" s="64">
      <c r="A6" s="64" t="inlineStr">
        <is>
          <t>供应商</t>
        </is>
      </c>
      <c r="B6" s="64" t="inlineStr">
        <is>
          <t>程力专用汽车股份有限公司</t>
        </is>
      </c>
      <c r="C6" s="64" t="inlineStr">
        <is>
          <t>Supplier_005</t>
        </is>
      </c>
      <c r="D6" s="64" t="inlineStr">
        <is>
          <t>程力</t>
        </is>
      </c>
      <c r="E6" s="64" t="inlineStr">
        <is>
          <t>程云</t>
        </is>
      </c>
      <c r="F6" s="64" t="inlineStr">
        <is>
          <t xml:space="preserve"> 0722-3816669</t>
        </is>
      </c>
      <c r="G6" s="64" t="inlineStr">
        <is>
          <t xml:space="preserve"> 0722-3816669</t>
        </is>
      </c>
      <c r="H6" s="64" t="n"/>
      <c r="K6" s="64" t="inlineStr">
        <is>
          <t>91421300764141823Q</t>
        </is>
      </c>
      <c r="L6" s="64" t="n">
        <v>13</v>
      </c>
      <c r="M6" s="64" t="inlineStr">
        <is>
          <t>程力专用汽车股份有限公司</t>
        </is>
      </c>
      <c r="N6" s="64" t="inlineStr">
        <is>
          <t>建行随州曾都支行</t>
        </is>
      </c>
      <c r="O6" s="64" t="inlineStr">
        <is>
          <t>程力专用汽车股份有限公司</t>
        </is>
      </c>
      <c r="P6" s="71" t="inlineStr">
        <is>
          <t>42001813662050003420</t>
        </is>
      </c>
      <c r="Q6" s="64" t="inlineStr">
        <is>
          <t>建行随州曾都支行</t>
        </is>
      </c>
      <c r="R6" s="64" t="inlineStr">
        <is>
          <t>18272359088 / 0722-3816669</t>
        </is>
      </c>
      <c r="S6" s="64" t="inlineStr">
        <is>
          <t>湖北省随州市曾都区南郊</t>
        </is>
      </c>
      <c r="T6" s="64" t="inlineStr">
        <is>
          <t>湖北省随州市曾都区南郊</t>
        </is>
      </c>
    </row>
    <row r="7" hidden="1" customFormat="1" s="64">
      <c r="A7" s="64" t="inlineStr">
        <is>
          <t>供应商</t>
        </is>
      </c>
      <c r="B7" s="64" t="inlineStr">
        <is>
          <t>重庆徐渝工程机械有限公司</t>
        </is>
      </c>
      <c r="C7" s="64" t="inlineStr">
        <is>
          <t>Supplier_006</t>
        </is>
      </c>
      <c r="D7" s="64" t="inlineStr">
        <is>
          <t>重庆徐渝</t>
        </is>
      </c>
      <c r="E7" s="64" t="inlineStr">
        <is>
          <t>023-68649958</t>
        </is>
      </c>
      <c r="F7" s="64" t="n">
        <v>19332938773</v>
      </c>
      <c r="G7" s="64" t="n">
        <v>19332938773</v>
      </c>
      <c r="H7" s="64" t="inlineStr">
        <is>
          <t>844834111@qq.com</t>
        </is>
      </c>
      <c r="J7" s="64" t="inlineStr">
        <is>
          <t>工程机械销售/租赁/维修服务商</t>
        </is>
      </c>
      <c r="K7" s="64" t="inlineStr">
        <is>
          <t>91500107077285366A</t>
        </is>
      </c>
      <c r="L7" s="64" t="n">
        <v>13</v>
      </c>
      <c r="M7" s="64" t="inlineStr">
        <is>
          <t>重庆徐渝工程机械有限公司</t>
        </is>
      </c>
      <c r="N7" s="64" t="inlineStr">
        <is>
          <t>建行</t>
        </is>
      </c>
      <c r="O7" s="64" t="inlineStr">
        <is>
          <t>重庆徐渝工程机械有限公司</t>
        </is>
      </c>
      <c r="P7" s="71" t="inlineStr">
        <is>
          <t>50001030041052507798</t>
        </is>
      </c>
      <c r="Q7" s="64" t="inlineStr">
        <is>
          <t>重庆九龙坡九龙园支行</t>
        </is>
      </c>
      <c r="R7" s="64" t="inlineStr">
        <is>
          <t>023-68649958</t>
        </is>
      </c>
      <c r="S7" s="64" t="inlineStr">
        <is>
          <t>重庆市九龙坡区九龙园区C区九龙园大道38号办公楼一楼</t>
        </is>
      </c>
      <c r="T7" s="64" t="inlineStr">
        <is>
          <t>重庆市九龙坡区九龙园区C区九龙园大道38号办公楼一楼</t>
        </is>
      </c>
      <c r="U7" s="64" t="inlineStr">
        <is>
          <t>蒋超</t>
        </is>
      </c>
      <c r="V7" s="64" t="inlineStr">
        <is>
          <t>张景东</t>
        </is>
      </c>
      <c r="W7" s="64" t="inlineStr">
        <is>
          <t>存续</t>
        </is>
      </c>
    </row>
    <row r="8" hidden="1">
      <c r="A8" s="44" t="inlineStr">
        <is>
          <t>供应商</t>
        </is>
      </c>
      <c r="B8" s="44" t="inlineStr">
        <is>
          <t>焦作科瑞森重装股份有限公司</t>
        </is>
      </c>
      <c r="C8" s="64" t="inlineStr">
        <is>
          <t>Supplier_007</t>
        </is>
      </c>
      <c r="D8" s="44" t="inlineStr">
        <is>
          <t>焦作科瑞森重装</t>
        </is>
      </c>
      <c r="E8" s="44" t="inlineStr">
        <is>
          <t>秦啸</t>
        </is>
      </c>
      <c r="F8" s="44" t="inlineStr">
        <is>
          <t>0391-3683672</t>
        </is>
      </c>
      <c r="G8" s="44" t="inlineStr">
        <is>
          <t>15839198183</t>
        </is>
      </c>
      <c r="H8" s="44" t="inlineStr">
        <is>
          <t>qinxiao@jzcreation.com</t>
        </is>
      </c>
      <c r="K8" s="44" t="inlineStr">
        <is>
          <t>9141080075071861X6</t>
        </is>
      </c>
      <c r="L8" s="44" t="inlineStr">
        <is>
          <t>13%</t>
        </is>
      </c>
      <c r="M8" s="44" t="inlineStr">
        <is>
          <t>焦作科瑞森重装股份有限公司</t>
        </is>
      </c>
      <c r="N8" s="44" t="inlineStr">
        <is>
          <t>中国建设银行股份有限公司焦作人民东路支行</t>
        </is>
      </c>
      <c r="O8" s="44" t="inlineStr">
        <is>
          <t>焦作科瑞森重装股份有限公司</t>
        </is>
      </c>
      <c r="P8" s="44" t="inlineStr">
        <is>
          <t>41050164790800000368</t>
        </is>
      </c>
      <c r="T8" s="44" t="inlineStr">
        <is>
          <t>河南省焦作市高新区文苑街道神州路2878号</t>
        </is>
      </c>
      <c r="U8" s="44" t="inlineStr">
        <is>
          <t>姚光辉</t>
        </is>
      </c>
      <c r="W8" s="44" t="inlineStr">
        <is>
          <t>正常</t>
        </is>
      </c>
      <c r="X8" s="44" t="inlineStr">
        <is>
          <t>BMGG-MAZ-25067；BMGG-MAZ-DES-JZKRS；BMGG-MAZ-DES-JZKRS-5500-23026</t>
        </is>
      </c>
    </row>
    <row r="9" hidden="1">
      <c r="A9" s="44" t="inlineStr">
        <is>
          <t>供应商</t>
        </is>
      </c>
      <c r="B9" s="44" t="inlineStr">
        <is>
          <t>三一重型装备有限公司</t>
        </is>
      </c>
      <c r="C9" s="64" t="inlineStr">
        <is>
          <t>Supplier_008</t>
        </is>
      </c>
      <c r="D9" s="44" t="inlineStr">
        <is>
          <t>三一重装</t>
        </is>
      </c>
      <c r="E9" s="44" t="inlineStr">
        <is>
          <t>邓文旭</t>
        </is>
      </c>
      <c r="F9" s="44" t="inlineStr">
        <is>
          <t>024-89318406</t>
        </is>
      </c>
      <c r="G9" s="44" t="inlineStr">
        <is>
          <t>13898891601</t>
        </is>
      </c>
      <c r="H9" s="44" t="inlineStr">
        <is>
          <t>dengwx1@sany.com.cn</t>
        </is>
      </c>
      <c r="K9" s="44" t="inlineStr">
        <is>
          <t>91210106755513533W</t>
        </is>
      </c>
      <c r="L9" s="44" t="inlineStr">
        <is>
          <t>13%</t>
        </is>
      </c>
      <c r="M9" s="44" t="inlineStr">
        <is>
          <t>三一重型装备有限公司</t>
        </is>
      </c>
      <c r="N9" s="44" t="inlineStr">
        <is>
          <t>交通银行铁西支行</t>
        </is>
      </c>
      <c r="O9" s="44" t="inlineStr">
        <is>
          <t>三一重型装备有限公司</t>
        </is>
      </c>
      <c r="P9" s="44" t="inlineStr">
        <is>
          <t>211111203018150008862</t>
        </is>
      </c>
      <c r="T9" s="44" t="inlineStr">
        <is>
          <t>辽宁省沈阳市经济技术开发区开发大路25号</t>
        </is>
      </c>
      <c r="U9" s="44" t="inlineStr">
        <is>
          <t>戚建</t>
        </is>
      </c>
      <c r="V9" s="44" t="inlineStr">
        <is>
          <t>邓文旭</t>
        </is>
      </c>
      <c r="W9" s="44" t="inlineStr">
        <is>
          <t>正常</t>
        </is>
      </c>
      <c r="X9" s="44" t="inlineStr">
        <is>
          <t>BMGG-MAZ-SYMT-23001；BMGG-MAZ-SYMT-23002；BMGG-MAZ-SYPJ-23001</t>
        </is>
      </c>
    </row>
    <row r="10" hidden="1">
      <c r="A10" s="44" t="inlineStr">
        <is>
          <t>供应商</t>
        </is>
      </c>
      <c r="B10" s="44" t="inlineStr">
        <is>
          <t>泰伯克（天津）机械设备有限公司</t>
        </is>
      </c>
      <c r="C10" s="64" t="inlineStr">
        <is>
          <t>Supplier_009</t>
        </is>
      </c>
      <c r="D10" s="44" t="inlineStr">
        <is>
          <t>泰伯克机械设备</t>
        </is>
      </c>
      <c r="E10" s="44" t="inlineStr">
        <is>
          <t>孙炫</t>
        </is>
      </c>
      <c r="F10" s="44" t="inlineStr">
        <is>
          <t>022-82958110</t>
        </is>
      </c>
      <c r="G10" s="44" t="inlineStr">
        <is>
          <t>13933395080</t>
        </is>
      </c>
      <c r="H10" s="44" t="inlineStr">
        <is>
          <t>taiboke@163.com</t>
        </is>
      </c>
      <c r="K10" s="44" t="inlineStr">
        <is>
          <t>91120222598701580K</t>
        </is>
      </c>
      <c r="L10" s="44" t="inlineStr">
        <is>
          <t>13%</t>
        </is>
      </c>
      <c r="M10" s="44" t="inlineStr">
        <is>
          <t>泰伯克（天津）机械设备有限公司</t>
        </is>
      </c>
      <c r="N10" s="44" t="inlineStr">
        <is>
          <t>天津农商银行武清京滨支行</t>
        </is>
      </c>
      <c r="O10" s="44" t="inlineStr">
        <is>
          <t>泰伯克（天津）机械设备有限公司</t>
        </is>
      </c>
      <c r="T10" s="44" t="inlineStr">
        <is>
          <t>天津市武清区京滨工业园民丰道6号内5#厂房101室</t>
        </is>
      </c>
      <c r="U10" s="44" t="inlineStr">
        <is>
          <t>刘骁</t>
        </is>
      </c>
      <c r="W10" s="44" t="inlineStr">
        <is>
          <t>正常</t>
        </is>
      </c>
      <c r="X10" s="44" t="inlineStr">
        <is>
          <t>3004801035；BMGG-MAZ-24118；BMGG-MAZ-PO-INS-JZKRS-5500-23025</t>
        </is>
      </c>
    </row>
    <row r="11">
      <c r="A11" s="44" t="inlineStr">
        <is>
          <t>供应商</t>
        </is>
      </c>
      <c r="B11" s="44" t="inlineStr">
        <is>
          <t>山东港通工程管理咨询有限公司</t>
        </is>
      </c>
      <c r="C11" s="64" t="inlineStr">
        <is>
          <t>Supplier_010</t>
        </is>
      </c>
      <c r="D11" s="44" t="inlineStr">
        <is>
          <t>港通工程管理咨询</t>
        </is>
      </c>
      <c r="F11" s="44" t="inlineStr">
        <is>
          <t>0535-6743605</t>
        </is>
      </c>
      <c r="G11" s="44" t="inlineStr">
        <is>
          <t>13589866170</t>
        </is>
      </c>
      <c r="H11" s="44" t="inlineStr">
        <is>
          <t>jnysjz@163.com</t>
        </is>
      </c>
      <c r="K11" s="44" t="inlineStr">
        <is>
          <t>91370600735776109D</t>
        </is>
      </c>
      <c r="L11" s="44" t="inlineStr">
        <is>
          <t>13%</t>
        </is>
      </c>
      <c r="M11" s="44" t="inlineStr">
        <is>
          <t>山东港通工程管理咨询有限公司</t>
        </is>
      </c>
      <c r="N11" s="44" t="inlineStr">
        <is>
          <t>中国工商银行烟台市分行</t>
        </is>
      </c>
      <c r="O11" s="44" t="inlineStr">
        <is>
          <t>山东港通工程管理咨询有限公司</t>
        </is>
      </c>
      <c r="P11" s="44" t="inlineStr">
        <is>
          <t>1606020509022176822</t>
        </is>
      </c>
      <c r="T11" s="44" t="inlineStr">
        <is>
          <t>山东省烟台市芝罘区环海路89号</t>
        </is>
      </c>
      <c r="U11" s="44" t="inlineStr">
        <is>
          <t>邓卫东</t>
        </is>
      </c>
      <c r="W11" s="44" t="inlineStr">
        <is>
          <t>正常</t>
        </is>
      </c>
      <c r="X11" s="44" t="inlineStr">
        <is>
          <t>BMGG-MAZ-DES-SDGTGC-5500-23023</t>
        </is>
      </c>
    </row>
    <row r="12" hidden="1">
      <c r="A12" s="44" t="inlineStr">
        <is>
          <t>供应商</t>
        </is>
      </c>
      <c r="B12" s="44" t="inlineStr">
        <is>
          <t>三一硅能（株洲）有限公司</t>
        </is>
      </c>
      <c r="C12" s="64" t="inlineStr">
        <is>
          <t>Supplier_011</t>
        </is>
      </c>
      <c r="D12" s="44" t="inlineStr">
        <is>
          <t>三一硅能</t>
        </is>
      </c>
      <c r="E12" s="44" t="inlineStr">
        <is>
          <t>骆阳</t>
        </is>
      </c>
      <c r="G12" s="44" t="inlineStr">
        <is>
          <t>18910172967</t>
        </is>
      </c>
      <c r="H12" s="44" t="inlineStr">
        <is>
          <t>luoy128@sany.com.cn</t>
        </is>
      </c>
      <c r="K12" s="44" t="inlineStr">
        <is>
          <t>91430204MABXDBAR2X</t>
        </is>
      </c>
      <c r="L12" s="44" t="inlineStr">
        <is>
          <t>13%</t>
        </is>
      </c>
      <c r="M12" s="44" t="inlineStr">
        <is>
          <t>三一硅能（株洲）有限公司</t>
        </is>
      </c>
      <c r="N12" s="44" t="inlineStr">
        <is>
          <t>中国工商银行长沙市星沙支行</t>
        </is>
      </c>
      <c r="O12" s="44" t="inlineStr">
        <is>
          <t>三一硅能（株洲）有限公司</t>
        </is>
      </c>
      <c r="P12" s="44" t="inlineStr">
        <is>
          <t>1901023009200392314</t>
        </is>
      </c>
      <c r="T12" s="44" t="inlineStr">
        <is>
          <t>湖南省株洲市石峰区铜塘湾街道清霞路333号</t>
        </is>
      </c>
      <c r="V12" s="44" t="inlineStr">
        <is>
          <t>骆阳</t>
        </is>
      </c>
      <c r="W12" s="44" t="inlineStr">
        <is>
          <t>正常</t>
        </is>
      </c>
      <c r="X12" s="44" t="inlineStr">
        <is>
          <t>BMGS-SANYSE-2026-001</t>
        </is>
      </c>
    </row>
    <row r="13" hidden="1">
      <c r="A13" s="44" t="inlineStr">
        <is>
          <t>供应商</t>
        </is>
      </c>
      <c r="B13" s="44" t="inlineStr">
        <is>
          <t>江苏金钰龙耐火材料科技有限公司</t>
        </is>
      </c>
      <c r="C13" s="64" t="inlineStr">
        <is>
          <t>Supplier_012</t>
        </is>
      </c>
      <c r="D13" s="44" t="inlineStr">
        <is>
          <t>金钰龙耐火材料科</t>
        </is>
      </c>
      <c r="E13" s="44" t="inlineStr">
        <is>
          <t>姚达</t>
        </is>
      </c>
      <c r="G13" s="44" t="inlineStr">
        <is>
          <t>15822621597</t>
        </is>
      </c>
      <c r="K13" s="44" t="inlineStr">
        <is>
          <t>91320481MA1Y2Y986U</t>
        </is>
      </c>
      <c r="L13" s="44" t="inlineStr">
        <is>
          <t>13%</t>
        </is>
      </c>
      <c r="M13" s="44" t="inlineStr">
        <is>
          <t>江苏金钰龙耐火材料科技有限公司</t>
        </is>
      </c>
      <c r="O13" s="44" t="inlineStr">
        <is>
          <t>江苏金钰龙耐火材料科技有限公司</t>
        </is>
      </c>
      <c r="T13" s="44" t="inlineStr">
        <is>
          <t>江苏省常州市溧阳市上黄镇扬子东路8号1幢</t>
        </is>
      </c>
      <c r="W13" s="44" t="inlineStr">
        <is>
          <t>正常</t>
        </is>
      </c>
      <c r="X13" s="44" t="inlineStr">
        <is>
          <t>BSRASC-2021020；BSRASC-2021025；BSRASC-2021032</t>
        </is>
      </c>
    </row>
    <row r="14" hidden="1">
      <c r="A14" s="44" t="inlineStr">
        <is>
          <t>供应商</t>
        </is>
      </c>
      <c r="B14" s="44" t="inlineStr">
        <is>
          <t>四川省中冶建设工程监理有限责任公司</t>
        </is>
      </c>
      <c r="C14" s="64" t="inlineStr">
        <is>
          <t>Supplier_013</t>
        </is>
      </c>
      <c r="D14" s="44" t="inlineStr">
        <is>
          <t>中冶建设工程监理</t>
        </is>
      </c>
      <c r="E14" s="44" t="inlineStr">
        <is>
          <t>陈洪</t>
        </is>
      </c>
      <c r="G14" s="44" t="inlineStr">
        <is>
          <t>15012010206</t>
        </is>
      </c>
      <c r="H14" s="44" t="inlineStr">
        <is>
          <t>709399596@qq.com</t>
        </is>
      </c>
      <c r="K14" s="44" t="inlineStr">
        <is>
          <t>91510000201883460B</t>
        </is>
      </c>
      <c r="L14" s="44" t="inlineStr">
        <is>
          <t>13%</t>
        </is>
      </c>
      <c r="M14" s="44" t="inlineStr">
        <is>
          <t>四川省中冶建设工程监理有限责任公司</t>
        </is>
      </c>
      <c r="N14" s="44" t="inlineStr">
        <is>
          <t>成都银行棕北支行</t>
        </is>
      </c>
      <c r="O14" s="44" t="inlineStr">
        <is>
          <t>四川省中冶建设工程监理有限责任公司</t>
        </is>
      </c>
      <c r="P14" s="44" t="inlineStr">
        <is>
          <t>15012010206148100018</t>
        </is>
      </c>
      <c r="T14" s="44" t="inlineStr">
        <is>
          <t>四川省成都市武侯区人民南路四段20号</t>
        </is>
      </c>
      <c r="W14" s="44" t="inlineStr">
        <is>
          <t>正常</t>
        </is>
      </c>
      <c r="X14" s="44" t="inlineStr">
        <is>
          <t>BMGG-MAZ；BMGG-MAZ-SUP-SCZYJS</t>
        </is>
      </c>
    </row>
    <row r="15" hidden="1">
      <c r="A15" s="44" t="inlineStr">
        <is>
          <t>供应商</t>
        </is>
      </c>
      <c r="B15" s="44" t="inlineStr">
        <is>
          <t>中煤科工重庆设计研究院（集团）有限公司</t>
        </is>
      </c>
      <c r="C15" s="64" t="inlineStr">
        <is>
          <t>Supplier_014</t>
        </is>
      </c>
      <c r="D15" s="44" t="inlineStr">
        <is>
          <t>中煤科工重庆设计</t>
        </is>
      </c>
      <c r="G15" s="44" t="inlineStr">
        <is>
          <t>13608380701</t>
        </is>
      </c>
      <c r="H15" s="44" t="inlineStr">
        <is>
          <t>332456460@qq.com</t>
        </is>
      </c>
      <c r="K15" s="44" t="inlineStr">
        <is>
          <t>915000002028031195</t>
        </is>
      </c>
      <c r="L15" s="44" t="inlineStr">
        <is>
          <t>6%</t>
        </is>
      </c>
      <c r="M15" s="44" t="inlineStr">
        <is>
          <t>中煤科工重庆设计研究院（集团）有限公司</t>
        </is>
      </c>
      <c r="N15" s="44" t="inlineStr">
        <is>
          <t>工行重庆市袁家岗支行</t>
        </is>
      </c>
      <c r="O15" s="44" t="inlineStr">
        <is>
          <t>中煤科工重庆设计研究院（集团）有限公司</t>
        </is>
      </c>
      <c r="P15" s="44" t="inlineStr">
        <is>
          <t>3100023619000041226</t>
        </is>
      </c>
      <c r="T15" s="44" t="inlineStr">
        <is>
          <t>重庆市渝中区大坪长江二路179号</t>
        </is>
      </c>
      <c r="W15" s="44" t="inlineStr">
        <is>
          <t>正常</t>
        </is>
      </c>
      <c r="X15" s="44" t="inlineStr">
        <is>
          <t>BMGG-MAZ-DES-ZMKGCQ；BMGG-MAZ-DES-ZMKGCQ-5500-23021；BMGG-ZMKG-DS-0001</t>
        </is>
      </c>
    </row>
    <row r="16" hidden="1">
      <c r="A16" s="44" t="inlineStr">
        <is>
          <t>供应商</t>
        </is>
      </c>
      <c r="B16" s="44" t="inlineStr">
        <is>
          <t>重庆重变电器有限责任公司</t>
        </is>
      </c>
      <c r="C16" s="64" t="inlineStr">
        <is>
          <t>Supplier_015</t>
        </is>
      </c>
      <c r="D16" s="44" t="inlineStr">
        <is>
          <t>重变电器</t>
        </is>
      </c>
      <c r="E16" s="44" t="inlineStr">
        <is>
          <t>吴长春</t>
        </is>
      </c>
      <c r="G16" s="44" t="inlineStr">
        <is>
          <t>13896086879</t>
        </is>
      </c>
      <c r="H16" s="44" t="inlineStr">
        <is>
          <t>419028326@qq.com</t>
        </is>
      </c>
      <c r="K16" s="44" t="inlineStr">
        <is>
          <t>915002242031267548</t>
        </is>
      </c>
      <c r="L16" s="44" t="inlineStr">
        <is>
          <t>13%</t>
        </is>
      </c>
      <c r="M16" s="44" t="inlineStr">
        <is>
          <t>重庆重变电器有限责任公司</t>
        </is>
      </c>
      <c r="N16" s="44" t="inlineStr">
        <is>
          <t>中国银行重庆铜梁支行营业部</t>
        </is>
      </c>
      <c r="O16" s="44" t="inlineStr">
        <is>
          <t>重庆重变电器有限责任公司</t>
        </is>
      </c>
      <c r="T16" s="44" t="inlineStr">
        <is>
          <t>重庆市铜梁区东城街道办事处金山大道19号</t>
        </is>
      </c>
      <c r="U16" s="44" t="inlineStr">
        <is>
          <t>樊俊良</t>
        </is>
      </c>
      <c r="W16" s="44" t="inlineStr">
        <is>
          <t>正常</t>
        </is>
      </c>
      <c r="X16" s="44" t="inlineStr">
        <is>
          <t>BMGG-MAZ-NWP-25006；BMGG-MAZ-PO-CQCBDQ；BMGG-MAZ-PO-CQCBDQ-5500</t>
        </is>
      </c>
    </row>
    <row r="17" hidden="1">
      <c r="A17" s="44" t="inlineStr">
        <is>
          <t>供应商</t>
        </is>
      </c>
      <c r="B17" s="44" t="inlineStr">
        <is>
          <t>焦作科瑞森重装股份有限公司运维分公司</t>
        </is>
      </c>
      <c r="C17" s="64" t="inlineStr">
        <is>
          <t>Supplier_016</t>
        </is>
      </c>
      <c r="D17" s="44" t="inlineStr">
        <is>
          <t>焦作科瑞森重装股</t>
        </is>
      </c>
      <c r="E17" s="44" t="inlineStr">
        <is>
          <t>李冲</t>
        </is>
      </c>
      <c r="F17" s="44" t="inlineStr">
        <is>
          <t>0391-8861051</t>
        </is>
      </c>
      <c r="G17" s="44" t="inlineStr">
        <is>
          <t>17516513412</t>
        </is>
      </c>
      <c r="K17" s="44" t="inlineStr">
        <is>
          <t>91410800MA481JKP0R</t>
        </is>
      </c>
      <c r="L17" s="44" t="inlineStr">
        <is>
          <t>13%</t>
        </is>
      </c>
      <c r="M17" s="44" t="inlineStr">
        <is>
          <t>焦作科瑞森重装股份有限公司运维分公司</t>
        </is>
      </c>
      <c r="N17" s="44" t="inlineStr">
        <is>
          <t>上海浦东发展银行重庆分行</t>
        </is>
      </c>
      <c r="O17" s="44" t="inlineStr">
        <is>
          <t>焦作科瑞森重装股份有限公司运维分公司</t>
        </is>
      </c>
      <c r="P17" s="44" t="inlineStr">
        <is>
          <t>418159999011000029369</t>
        </is>
      </c>
      <c r="T17" s="44" t="inlineStr">
        <is>
          <t>河南省焦作市示范区神州路2878号</t>
        </is>
      </c>
      <c r="W17" s="44" t="inlineStr">
        <is>
          <t>正常</t>
        </is>
      </c>
      <c r="X17" s="44" t="inlineStr">
        <is>
          <t>BMGG-Jiaozuo；BMGG-MAZ-DES-JZKRS-5500-23026；Contract</t>
        </is>
      </c>
    </row>
    <row r="18" hidden="1">
      <c r="A18" s="44" t="inlineStr">
        <is>
          <t>供应商</t>
        </is>
      </c>
      <c r="B18" s="44" t="inlineStr">
        <is>
          <t>重庆中硕空间钢结构工程有限公司</t>
        </is>
      </c>
      <c r="C18" s="64" t="inlineStr">
        <is>
          <t>Supplier_017</t>
        </is>
      </c>
      <c r="D18" s="44" t="inlineStr">
        <is>
          <t>中硕空间钢结构工</t>
        </is>
      </c>
      <c r="E18" s="44" t="inlineStr">
        <is>
          <t>李俊波</t>
        </is>
      </c>
      <c r="F18" s="44" t="inlineStr">
        <is>
          <t>023-86230032</t>
        </is>
      </c>
      <c r="G18" s="44" t="inlineStr">
        <is>
          <t>13002399140</t>
        </is>
      </c>
      <c r="K18" s="44" t="inlineStr">
        <is>
          <t>91500104666411332D</t>
        </is>
      </c>
      <c r="L18" s="44" t="inlineStr">
        <is>
          <t>3%</t>
        </is>
      </c>
      <c r="M18" s="44" t="inlineStr">
        <is>
          <t>重庆中硕空间钢结构工程有限公司</t>
        </is>
      </c>
      <c r="N18" s="44" t="inlineStr">
        <is>
          <t>中行大渡口双山路支行</t>
        </is>
      </c>
      <c r="O18" s="44" t="inlineStr">
        <is>
          <t>重庆中硕空间钢结构工程有限公司</t>
        </is>
      </c>
      <c r="P18" s="44" t="inlineStr">
        <is>
          <t>111609123206</t>
        </is>
      </c>
      <c r="T18" s="44" t="inlineStr">
        <is>
          <t>重庆市大渡口区松青路1000号附13-2号</t>
        </is>
      </c>
      <c r="U18" s="44" t="inlineStr">
        <is>
          <t>李俊波</t>
        </is>
      </c>
      <c r="W18" s="44" t="inlineStr">
        <is>
          <t>正常</t>
        </is>
      </c>
      <c r="X18" s="44" t="inlineStr">
        <is>
          <t>BMGG；BMGG-KIL15-GENSET-2022915</t>
        </is>
      </c>
    </row>
    <row r="19" hidden="1">
      <c r="A19" s="44" t="inlineStr">
        <is>
          <t>供应商</t>
        </is>
      </c>
      <c r="B19" s="44" t="inlineStr">
        <is>
          <t>中国重卡国际资本有限公司</t>
        </is>
      </c>
      <c r="C19" s="64" t="inlineStr">
        <is>
          <t>Supplier_018</t>
        </is>
      </c>
      <c r="D19" s="44" t="inlineStr">
        <is>
          <t>重卡国际资本</t>
        </is>
      </c>
      <c r="G19" s="44" t="inlineStr">
        <is>
          <t>15753268981</t>
        </is>
      </c>
      <c r="K19" s="44" t="inlineStr">
        <is>
          <t>境外企业</t>
        </is>
      </c>
      <c r="M19" s="44" t="inlineStr">
        <is>
          <t>中国重卡国际资本有限公司</t>
        </is>
      </c>
      <c r="O19" s="44" t="inlineStr">
        <is>
          <t>中国重卡国际资本有限公司</t>
        </is>
      </c>
      <c r="T19" s="44" t="inlineStr">
        <is>
          <t>中国香港 湾仔道165-171号幸运中心15楼1512室</t>
        </is>
      </c>
      <c r="W19" s="44" t="inlineStr">
        <is>
          <t>正常</t>
        </is>
      </c>
    </row>
    <row r="20" hidden="1">
      <c r="A20" s="44" t="inlineStr">
        <is>
          <t>供应商</t>
        </is>
      </c>
      <c r="B20" s="44" t="inlineStr">
        <is>
          <t>泊头市鑫龙除尘设备有限公司</t>
        </is>
      </c>
      <c r="C20" s="64" t="inlineStr">
        <is>
          <t>Supplier_019</t>
        </is>
      </c>
      <c r="D20" s="44" t="inlineStr">
        <is>
          <t>泊头市鑫龙除尘设</t>
        </is>
      </c>
      <c r="E20" s="44" t="inlineStr">
        <is>
          <t>李鑫</t>
        </is>
      </c>
      <c r="F20" s="44" t="inlineStr">
        <is>
          <t>0317-8313893</t>
        </is>
      </c>
      <c r="G20" s="44" t="inlineStr">
        <is>
          <t>18932772050</t>
        </is>
      </c>
      <c r="K20" s="44" t="inlineStr">
        <is>
          <t>91130981601245935P</t>
        </is>
      </c>
      <c r="L20" s="44" t="inlineStr">
        <is>
          <t>13%</t>
        </is>
      </c>
      <c r="M20" s="44" t="inlineStr">
        <is>
          <t>泊头市鑫龙除尘设备有限公司</t>
        </is>
      </c>
      <c r="N20" s="44" t="inlineStr">
        <is>
          <t>中国工商银行泊头市支行</t>
        </is>
      </c>
      <c r="O20" s="44" t="inlineStr">
        <is>
          <t>泊头市鑫龙除尘设备有限公司</t>
        </is>
      </c>
      <c r="P20" s="44" t="inlineStr">
        <is>
          <t>0408020009249021729</t>
        </is>
      </c>
      <c r="T20" s="44" t="inlineStr">
        <is>
          <t>河北省沧州市泊头市泊盐路</t>
        </is>
      </c>
      <c r="U20" s="44" t="inlineStr">
        <is>
          <t>李树才</t>
        </is>
      </c>
      <c r="W20" s="44" t="inlineStr">
        <is>
          <t>正常</t>
        </is>
      </c>
      <c r="X20" s="44" t="inlineStr">
        <is>
          <t>BMGG--15；BMGG-KIL15-INS-XINLONG；BS-BMGG-20230510</t>
        </is>
      </c>
    </row>
    <row r="21" hidden="1">
      <c r="A21" s="44" t="inlineStr">
        <is>
          <t>供应商</t>
        </is>
      </c>
      <c r="B21" s="44" t="inlineStr">
        <is>
          <t>重庆通用工业（集团）有限责任公司</t>
        </is>
      </c>
      <c r="C21" s="64" t="inlineStr">
        <is>
          <t>Supplier_020</t>
        </is>
      </c>
      <c r="D21" s="44" t="inlineStr">
        <is>
          <t>通用工业</t>
        </is>
      </c>
      <c r="F21" s="44" t="inlineStr">
        <is>
          <t>023-67659553</t>
        </is>
      </c>
      <c r="K21" s="44" t="inlineStr">
        <is>
          <t>9150000020286187X1</t>
        </is>
      </c>
      <c r="L21" s="44" t="inlineStr">
        <is>
          <t>13%</t>
        </is>
      </c>
      <c r="M21" s="44" t="inlineStr">
        <is>
          <t>重庆通用工业（集团）有限责任公司</t>
        </is>
      </c>
      <c r="N21" s="44" t="inlineStr">
        <is>
          <t>工行南岸茶园支行</t>
        </is>
      </c>
      <c r="O21" s="44" t="inlineStr">
        <is>
          <t>重庆通用工业（集团）有限责任公司</t>
        </is>
      </c>
      <c r="T21" s="44" t="inlineStr">
        <is>
          <t>重庆市南岸区机电路18号</t>
        </is>
      </c>
      <c r="U21" s="44" t="inlineStr">
        <is>
          <t>谢正茂</t>
        </is>
      </c>
      <c r="W21" s="44" t="inlineStr">
        <is>
          <t>正常</t>
        </is>
      </c>
      <c r="X21" s="44" t="inlineStr">
        <is>
          <t>BMGG-2021011；BMGGK14IDFAN-2021009；BS-BMGG-2021009</t>
        </is>
      </c>
    </row>
    <row r="22" hidden="1">
      <c r="A22" s="44" t="inlineStr">
        <is>
          <t>供应商</t>
        </is>
      </c>
      <c r="B22" s="44" t="inlineStr">
        <is>
          <t>石家庄工业泵厂有限公司</t>
        </is>
      </c>
      <c r="C22" s="64" t="inlineStr">
        <is>
          <t>Supplier_021</t>
        </is>
      </c>
      <c r="D22" s="44" t="inlineStr">
        <is>
          <t>石家庄工业泵厂</t>
        </is>
      </c>
      <c r="E22" s="44" t="inlineStr">
        <is>
          <t>高会军</t>
        </is>
      </c>
      <c r="F22" s="44" t="inlineStr">
        <is>
          <t>0311-80679675</t>
        </is>
      </c>
      <c r="G22" s="44" t="inlineStr">
        <is>
          <t>13832399086</t>
        </is>
      </c>
      <c r="H22" s="44" t="inlineStr">
        <is>
          <t>13832399086@sgb-pump.com</t>
        </is>
      </c>
      <c r="K22" s="44" t="inlineStr">
        <is>
          <t>911301076882378141</t>
        </is>
      </c>
      <c r="L22" s="44" t="inlineStr">
        <is>
          <t>13%</t>
        </is>
      </c>
      <c r="M22" s="44" t="inlineStr">
        <is>
          <t>石家庄工业泵厂有限公司</t>
        </is>
      </c>
      <c r="N22" s="44" t="inlineStr">
        <is>
          <t>中国工商银行股份有限公司井陉矿区支行</t>
        </is>
      </c>
      <c r="O22" s="44" t="inlineStr">
        <is>
          <t>石家庄工业泵厂有限公司</t>
        </is>
      </c>
      <c r="T22" s="44" t="inlineStr">
        <is>
          <t>河北省石家庄市井陉矿区井阳路5号</t>
        </is>
      </c>
      <c r="U22" s="44" t="inlineStr">
        <is>
          <t>宁建国</t>
        </is>
      </c>
      <c r="W22" s="44" t="inlineStr">
        <is>
          <t>正常</t>
        </is>
      </c>
      <c r="X22" s="44" t="inlineStr">
        <is>
          <t>BMGG-2025049；BMGG-MAZ-PO-SGB-5500-23030；BMGG-MAZ-PO-TCCTJ-5500-23025</t>
        </is>
      </c>
    </row>
    <row r="23" hidden="1">
      <c r="A23" s="44" t="inlineStr">
        <is>
          <t>供应商</t>
        </is>
      </c>
      <c r="B23" s="44" t="inlineStr">
        <is>
          <t>湖北铄诚专用汽车贸易有限公司</t>
        </is>
      </c>
      <c r="C23" s="64" t="inlineStr">
        <is>
          <t>Supplier_022</t>
        </is>
      </c>
      <c r="D23" s="44" t="inlineStr">
        <is>
          <t>铄诚专用汽车贸易</t>
        </is>
      </c>
      <c r="G23" s="44" t="inlineStr">
        <is>
          <t>13872885810</t>
        </is>
      </c>
      <c r="K23" s="44" t="inlineStr">
        <is>
          <t>914213000684375592</t>
        </is>
      </c>
      <c r="M23" s="44" t="inlineStr">
        <is>
          <t>湖北铄诚专用汽车贸易有限公司</t>
        </is>
      </c>
      <c r="O23" s="44" t="inlineStr">
        <is>
          <t>湖北铄诚专用汽车贸易有限公司</t>
        </is>
      </c>
      <c r="P23" s="44" t="inlineStr">
        <is>
          <t>1805021019250038883</t>
        </is>
      </c>
      <c r="T23" s="44" t="inlineStr">
        <is>
          <t>湖北省随州市曾都区新型工业基地9号</t>
        </is>
      </c>
      <c r="W23" s="44" t="inlineStr">
        <is>
          <t>正常</t>
        </is>
      </c>
      <c r="X23" s="44" t="inlineStr">
        <is>
          <t>BMGG-MAZ-HBLC-5500-23011；BMGG-MAZ-WATERB-5500-23009</t>
        </is>
      </c>
    </row>
    <row r="24" hidden="1">
      <c r="A24" s="44" t="inlineStr">
        <is>
          <t>供应商</t>
        </is>
      </c>
      <c r="B24" s="44" t="inlineStr">
        <is>
          <t>成都宏谷焊割设备有限公司</t>
        </is>
      </c>
      <c r="C24" s="64" t="inlineStr">
        <is>
          <t>Supplier_023</t>
        </is>
      </c>
      <c r="D24" s="44" t="inlineStr">
        <is>
          <t>成都宏谷焊割设备</t>
        </is>
      </c>
      <c r="E24" s="44" t="inlineStr">
        <is>
          <t>万勤</t>
        </is>
      </c>
      <c r="F24" s="44" t="inlineStr">
        <is>
          <t>028-87587990</t>
        </is>
      </c>
      <c r="G24" s="44" t="inlineStr">
        <is>
          <t>13880166977</t>
        </is>
      </c>
      <c r="H24" s="44" t="inlineStr">
        <is>
          <t>honguweld@126.com</t>
        </is>
      </c>
      <c r="K24" s="44" t="inlineStr">
        <is>
          <t>915101063430419550</t>
        </is>
      </c>
      <c r="L24" s="44" t="inlineStr">
        <is>
          <t>13%</t>
        </is>
      </c>
      <c r="M24" s="44" t="inlineStr">
        <is>
          <t>成都宏谷焊割设备有限公司</t>
        </is>
      </c>
      <c r="N24" s="44" t="inlineStr">
        <is>
          <t>成都银行股份有限公司西延线支行</t>
        </is>
      </c>
      <c r="O24" s="44" t="inlineStr">
        <is>
          <t>成都宏谷焊割设备有限公司</t>
        </is>
      </c>
      <c r="P24" s="44" t="inlineStr">
        <is>
          <t>1001300000414270</t>
        </is>
      </c>
      <c r="T24" s="44" t="inlineStr">
        <is>
          <t>四川省成都市金牛区营康路5号</t>
        </is>
      </c>
      <c r="U24" s="44" t="inlineStr">
        <is>
          <t>李倩</t>
        </is>
      </c>
      <c r="W24" s="44" t="inlineStr">
        <is>
          <t>正常</t>
        </is>
      </c>
      <c r="X24" s="44" t="inlineStr">
        <is>
          <t>BMGG-MAZ-PO-CDHG-5500-23037；BS-BMGG-2022032；BS-BMGG-2022068</t>
        </is>
      </c>
    </row>
    <row r="25" hidden="1">
      <c r="A25" s="44" t="inlineStr">
        <is>
          <t>供应商</t>
        </is>
      </c>
      <c r="B25" s="44" t="inlineStr">
        <is>
          <t>上海欧鲍实业有限公司</t>
        </is>
      </c>
      <c r="C25" s="64" t="inlineStr">
        <is>
          <t>Supplier_024</t>
        </is>
      </c>
      <c r="D25" s="44" t="inlineStr">
        <is>
          <t>欧鲍实业</t>
        </is>
      </c>
      <c r="F25" s="44" t="inlineStr">
        <is>
          <t>021-51987293</t>
        </is>
      </c>
      <c r="G25" s="44" t="inlineStr">
        <is>
          <t>15316053917</t>
        </is>
      </c>
      <c r="K25" s="44" t="inlineStr">
        <is>
          <t>91310114057649775X</t>
        </is>
      </c>
      <c r="L25" s="44" t="inlineStr">
        <is>
          <t>13%</t>
        </is>
      </c>
      <c r="M25" s="44" t="inlineStr">
        <is>
          <t>上海欧鲍实业有限公司</t>
        </is>
      </c>
      <c r="N25" s="44" t="inlineStr">
        <is>
          <t>中国农业银行股份有限公司上海嘉定支行</t>
        </is>
      </c>
      <c r="O25" s="44" t="inlineStr">
        <is>
          <t>上海欧鲍实业有限公司</t>
        </is>
      </c>
      <c r="P25" s="44" t="inlineStr">
        <is>
          <t>03807100040093993</t>
        </is>
      </c>
      <c r="T25" s="44" t="inlineStr">
        <is>
          <t>上海市嘉定区菊园新区环城路2222号1幢J1497室</t>
        </is>
      </c>
      <c r="W25" s="44" t="inlineStr">
        <is>
          <t>正常</t>
        </is>
      </c>
      <c r="X25" s="44" t="inlineStr">
        <is>
          <t>BMGG-MAZ-WELDER-5500-23035</t>
        </is>
      </c>
    </row>
    <row r="26" hidden="1">
      <c r="A26" s="44" t="inlineStr">
        <is>
          <t>供应商</t>
        </is>
      </c>
      <c r="B26" s="44" t="inlineStr">
        <is>
          <t>北京津加钢国际矿业设备有限公司</t>
        </is>
      </c>
      <c r="C26" s="64" t="inlineStr">
        <is>
          <t>Supplier_025</t>
        </is>
      </c>
      <c r="D26" s="44" t="inlineStr">
        <is>
          <t>津加钢国际矿业设</t>
        </is>
      </c>
      <c r="E26" s="44" t="inlineStr">
        <is>
          <t>朱建伦</t>
        </is>
      </c>
      <c r="F26" s="44" t="inlineStr">
        <is>
          <t>010-53601150</t>
        </is>
      </c>
      <c r="G26" s="44" t="inlineStr">
        <is>
          <t>13953763369</t>
        </is>
      </c>
      <c r="H26" s="44" t="inlineStr">
        <is>
          <t>1072466069@qq.com</t>
        </is>
      </c>
      <c r="K26" s="44" t="inlineStr">
        <is>
          <t>91110102069587268C</t>
        </is>
      </c>
      <c r="L26" s="44" t="inlineStr">
        <is>
          <t>13%</t>
        </is>
      </c>
      <c r="M26" s="44" t="inlineStr">
        <is>
          <t>北京津加钢国际矿业设备有限公司</t>
        </is>
      </c>
      <c r="N26" s="44" t="inlineStr">
        <is>
          <t>中信银行北京金运大厦支行</t>
        </is>
      </c>
      <c r="O26" s="44" t="inlineStr">
        <is>
          <t>北京津加钢国际矿业设备有限公司</t>
        </is>
      </c>
      <c r="P26" s="44" t="inlineStr">
        <is>
          <t>8110701013301625404</t>
        </is>
      </c>
      <c r="T26" s="44" t="inlineStr">
        <is>
          <t>北京市西城区德胜门外大街11号44号楼5层540室（德胜园区）</t>
        </is>
      </c>
      <c r="U26" s="44" t="inlineStr">
        <is>
          <t>高宽</t>
        </is>
      </c>
      <c r="V26" s="44" t="inlineStr">
        <is>
          <t>路洪超</t>
        </is>
      </c>
      <c r="W26" s="44" t="inlineStr">
        <is>
          <t>正常</t>
        </is>
      </c>
      <c r="X26" s="44" t="inlineStr">
        <is>
          <t>BMGG-MAZ-SHANTUI-5500-23004</t>
        </is>
      </c>
    </row>
    <row r="27" hidden="1">
      <c r="A27" s="44" t="inlineStr">
        <is>
          <t>供应商</t>
        </is>
      </c>
      <c r="B27" s="44" t="inlineStr">
        <is>
          <t>无锡市蒂拓硫化设备有限公司</t>
        </is>
      </c>
      <c r="C27" s="64" t="inlineStr">
        <is>
          <t>Supplier_026</t>
        </is>
      </c>
      <c r="D27" s="44" t="inlineStr">
        <is>
          <t>无锡市蒂拓硫化设</t>
        </is>
      </c>
      <c r="E27" s="44" t="inlineStr">
        <is>
          <t>杨华娟</t>
        </is>
      </c>
      <c r="F27" s="44" t="inlineStr">
        <is>
          <t>0510-85062219</t>
        </is>
      </c>
      <c r="G27" s="44" t="inlineStr">
        <is>
          <t>13921523173</t>
        </is>
      </c>
      <c r="H27" s="44" t="inlineStr">
        <is>
          <t>13921523173@163.com</t>
        </is>
      </c>
      <c r="K27" s="44" t="inlineStr">
        <is>
          <t>913202050934921890</t>
        </is>
      </c>
      <c r="L27" s="44" t="inlineStr">
        <is>
          <t>13%</t>
        </is>
      </c>
      <c r="M27" s="44" t="inlineStr">
        <is>
          <t>无锡市蒂拓硫化设备有限公司</t>
        </is>
      </c>
      <c r="N27" s="44" t="inlineStr">
        <is>
          <t>中国银行股份有限公司无锡查桥支行</t>
        </is>
      </c>
      <c r="O27" s="44" t="inlineStr">
        <is>
          <t>无锡市蒂拓硫化设备有限公司</t>
        </is>
      </c>
      <c r="T27" s="44" t="inlineStr">
        <is>
          <t>江苏省无锡市锡山区东港镇下庄工业园168号</t>
        </is>
      </c>
      <c r="W27" s="44" t="inlineStr">
        <is>
          <t>正常</t>
        </is>
      </c>
      <c r="X27" s="44" t="inlineStr">
        <is>
          <t>BMGG-MAZ-PO-WXDT-5500-23033</t>
        </is>
      </c>
    </row>
    <row r="28" hidden="1">
      <c r="A28" s="44" t="inlineStr">
        <is>
          <t>供应商</t>
        </is>
      </c>
      <c r="B28" s="44" t="inlineStr">
        <is>
          <t>江苏天瑞仪器股份有限公司</t>
        </is>
      </c>
      <c r="C28" s="64" t="inlineStr">
        <is>
          <t>Supplier_027</t>
        </is>
      </c>
      <c r="D28" s="44" t="inlineStr">
        <is>
          <t>天瑞仪器</t>
        </is>
      </c>
      <c r="E28" s="44" t="inlineStr">
        <is>
          <t>谢莎</t>
        </is>
      </c>
      <c r="F28" s="44" t="inlineStr">
        <is>
          <t>0512-57017037</t>
        </is>
      </c>
      <c r="G28" s="44" t="inlineStr">
        <is>
          <t>13708349143</t>
        </is>
      </c>
      <c r="H28" s="44" t="inlineStr">
        <is>
          <t>lihongmei@skyray-instrument.com</t>
        </is>
      </c>
      <c r="K28" s="44" t="inlineStr">
        <is>
          <t>913205007899341254</t>
        </is>
      </c>
      <c r="L28" s="44" t="inlineStr">
        <is>
          <t>13%</t>
        </is>
      </c>
      <c r="M28" s="44" t="inlineStr">
        <is>
          <t>江苏天瑞仪器股份有限公司</t>
        </is>
      </c>
      <c r="N28" s="44" t="inlineStr">
        <is>
          <t>中信银行昆山支行</t>
        </is>
      </c>
      <c r="O28" s="44" t="inlineStr">
        <is>
          <t>江苏天瑞仪器股份有限公司</t>
        </is>
      </c>
      <c r="P28" s="44" t="inlineStr">
        <is>
          <t>7323210182601007059</t>
        </is>
      </c>
      <c r="T28" s="44" t="inlineStr">
        <is>
          <t>江苏省苏州市昆山市中华园西路1888号</t>
        </is>
      </c>
      <c r="U28" s="44" t="inlineStr">
        <is>
          <t>刘召贵</t>
        </is>
      </c>
      <c r="W28" s="44" t="inlineStr">
        <is>
          <t>正常</t>
        </is>
      </c>
      <c r="X28" s="44" t="inlineStr">
        <is>
          <t>BJWY；BMGG-XRF20191224-1；BS-BMGG-2022041</t>
        </is>
      </c>
    </row>
    <row r="29" hidden="1">
      <c r="A29" s="44" t="inlineStr">
        <is>
          <t>供应商</t>
        </is>
      </c>
      <c r="B29" s="44" t="inlineStr">
        <is>
          <t>中国船舶重工集团公司</t>
        </is>
      </c>
      <c r="C29" s="64" t="inlineStr">
        <is>
          <t>Supplier_028</t>
        </is>
      </c>
      <c r="D29" s="44" t="inlineStr">
        <is>
          <t>船舶重工集团</t>
        </is>
      </c>
      <c r="F29" s="44" t="inlineStr">
        <is>
          <t>021-51711711</t>
        </is>
      </c>
      <c r="K29" s="44" t="inlineStr">
        <is>
          <t>9111000071092446XA</t>
        </is>
      </c>
      <c r="L29" s="44" t="inlineStr">
        <is>
          <t>13%</t>
        </is>
      </c>
      <c r="M29" s="44" t="inlineStr">
        <is>
          <t>中国船舶重工集团公司</t>
        </is>
      </c>
      <c r="N29" s="44" t="inlineStr">
        <is>
          <t>建设银行上海莘庄工业园区支行</t>
        </is>
      </c>
      <c r="O29" s="44" t="inlineStr">
        <is>
          <t>中国船舶重工集团公司</t>
        </is>
      </c>
      <c r="P29" s="44" t="inlineStr">
        <is>
          <t>31001594422059000711</t>
        </is>
      </c>
      <c r="T29" s="44" t="inlineStr">
        <is>
          <t>北京市海淀区昆明湖南路72号</t>
        </is>
      </c>
      <c r="U29" s="44" t="inlineStr">
        <is>
          <t>董建福</t>
        </is>
      </c>
      <c r="W29" s="44" t="inlineStr">
        <is>
          <t>正常</t>
        </is>
      </c>
    </row>
    <row r="30" hidden="1">
      <c r="A30" s="44" t="inlineStr">
        <is>
          <t>供应商</t>
        </is>
      </c>
      <c r="B30" s="44" t="inlineStr">
        <is>
          <t>随州市华隆汽车销售有限公司</t>
        </is>
      </c>
      <c r="C30" s="64" t="inlineStr">
        <is>
          <t>Supplier_029</t>
        </is>
      </c>
      <c r="D30" s="44" t="inlineStr">
        <is>
          <t>随州市华隆汽车销</t>
        </is>
      </c>
      <c r="E30" s="44" t="inlineStr">
        <is>
          <t>胡俊</t>
        </is>
      </c>
      <c r="F30" s="44" t="inlineStr">
        <is>
          <t>0722-3328857</t>
        </is>
      </c>
      <c r="G30" s="44" t="inlineStr">
        <is>
          <t>13872885810</t>
        </is>
      </c>
      <c r="K30" s="44" t="inlineStr">
        <is>
          <t>91421300685612148E</t>
        </is>
      </c>
      <c r="L30" s="44" t="inlineStr">
        <is>
          <t>13%</t>
        </is>
      </c>
      <c r="M30" s="44" t="inlineStr">
        <is>
          <t>随州市华隆汽车销售有限公司</t>
        </is>
      </c>
      <c r="N30" s="44" t="inlineStr">
        <is>
          <t>工行随州分行</t>
        </is>
      </c>
      <c r="O30" s="44" t="inlineStr">
        <is>
          <t>随州市华隆汽车销售有限公司</t>
        </is>
      </c>
      <c r="P30" s="44" t="inlineStr">
        <is>
          <t>1805020409250087958</t>
        </is>
      </c>
      <c r="T30" s="44" t="inlineStr">
        <is>
          <t>湖北省随州市曾都区曾都新型工业基地9号</t>
        </is>
      </c>
      <c r="W30" s="44" t="inlineStr">
        <is>
          <t>正常</t>
        </is>
      </c>
      <c r="X30" s="44" t="inlineStr">
        <is>
          <t>BMGG-MAZ-HLWB-2023009；BMGG-MAZ-WATERB-2023009</t>
        </is>
      </c>
    </row>
    <row r="31" hidden="1">
      <c r="A31" s="44" t="inlineStr">
        <is>
          <t>供应商</t>
        </is>
      </c>
      <c r="B31" s="44" t="inlineStr">
        <is>
          <t>焦作市源恒物流有限公司</t>
        </is>
      </c>
      <c r="C31" s="64" t="inlineStr">
        <is>
          <t>Supplier_030</t>
        </is>
      </c>
      <c r="D31" s="44" t="inlineStr">
        <is>
          <t>焦作市源恒物流</t>
        </is>
      </c>
      <c r="E31" s="44" t="inlineStr">
        <is>
          <t>郭彦刚</t>
        </is>
      </c>
      <c r="G31" s="44" t="inlineStr">
        <is>
          <t>13938136951</t>
        </is>
      </c>
      <c r="H31" s="44" t="inlineStr">
        <is>
          <t>847587386@qq.com</t>
        </is>
      </c>
      <c r="K31" s="44" t="inlineStr">
        <is>
          <t>91410800MA44R3AT49</t>
        </is>
      </c>
      <c r="L31" s="44" t="inlineStr">
        <is>
          <t>9%</t>
        </is>
      </c>
      <c r="M31" s="44" t="inlineStr">
        <is>
          <t>焦作市源恒物流有限公司</t>
        </is>
      </c>
      <c r="N31" s="44" t="inlineStr">
        <is>
          <t>中原银行焦作分行营业部</t>
        </is>
      </c>
      <c r="O31" s="44" t="inlineStr">
        <is>
          <t>焦作市源恒物流有限公司</t>
        </is>
      </c>
      <c r="T31" s="44" t="inlineStr">
        <is>
          <t>河南省焦作市示范区南海路与山阳路交叉口东300米路南1008号</t>
        </is>
      </c>
      <c r="W31" s="44" t="inlineStr">
        <is>
          <t>正常</t>
        </is>
      </c>
      <c r="X31" s="44" t="inlineStr">
        <is>
          <t>BMGG-MAZ-TRANS-JZYH-5500-23031；BMGG-MAZ-TRANS-JZYH-5500-24070</t>
        </is>
      </c>
    </row>
    <row r="32" hidden="1">
      <c r="A32" s="44" t="inlineStr">
        <is>
          <t>供应商</t>
        </is>
      </c>
      <c r="B32" s="44" t="inlineStr">
        <is>
          <t>南方泵业股份有限公司</t>
        </is>
      </c>
      <c r="C32" s="44" t="inlineStr">
        <is>
          <t>Supplier_085</t>
        </is>
      </c>
      <c r="D32" s="44" t="inlineStr">
        <is>
          <t>南方泵业</t>
        </is>
      </c>
      <c r="E32" s="44" t="inlineStr">
        <is>
          <t>甘常春</t>
        </is>
      </c>
      <c r="F32" s="44" t="n"/>
      <c r="G32" s="44" t="inlineStr">
        <is>
          <t>15922967215</t>
        </is>
      </c>
      <c r="H32" s="44" t="inlineStr">
        <is>
          <t>39007732@qq.com</t>
        </is>
      </c>
      <c r="I32" s="44" t="inlineStr">
        <is>
          <t>吴柱臻</t>
        </is>
      </c>
      <c r="J32" s="44" t="inlineStr">
        <is>
          <t>设备/物资供应商</t>
        </is>
      </c>
      <c r="K32" s="44" t="inlineStr">
        <is>
          <t>91330000143853115H</t>
        </is>
      </c>
      <c r="L32" s="44" t="n">
        <v>0.13</v>
      </c>
      <c r="M32" s="44" t="inlineStr">
        <is>
          <t>南方泵业股份有限公司</t>
        </is>
      </c>
      <c r="N32" s="44" t="inlineStr">
        <is>
          <t>中国农业银行杭州仁和支行</t>
        </is>
      </c>
      <c r="O32" s="44" t="inlineStr">
        <is>
          <t>南方泵业股份有限公司</t>
        </is>
      </c>
      <c r="P32" s="72" t="inlineStr">
        <is>
          <t>19051001040003358</t>
        </is>
      </c>
      <c r="Q32" s="44" t="inlineStr">
        <is>
          <t>中国农业银行杭州仁和支行</t>
        </is>
      </c>
      <c r="R32" s="44" t="n"/>
      <c r="S32" s="44" t="n"/>
      <c r="T32" s="44" t="inlineStr">
        <is>
          <t>杭州市余杭区仁和街道仁河大道46号</t>
        </is>
      </c>
      <c r="U32" t="inlineStr">
        <is>
          <t>杭军</t>
        </is>
      </c>
      <c r="V32" t="inlineStr">
        <is>
          <t>甘常春</t>
        </is>
      </c>
      <c r="W32" s="44" t="inlineStr">
        <is>
          <t>启用</t>
        </is>
      </c>
      <c r="X32" s="44" t="n"/>
    </row>
    <row r="33" hidden="1">
      <c r="A33" s="44" t="inlineStr">
        <is>
          <t>供应商</t>
        </is>
      </c>
      <c r="B33" s="44" t="inlineStr">
        <is>
          <t>赛摩智能科技集团股份有限公司</t>
        </is>
      </c>
      <c r="C33" s="64" t="inlineStr">
        <is>
          <t>Supplier_032</t>
        </is>
      </c>
      <c r="D33" s="44" t="inlineStr">
        <is>
          <t>赛摩智能科技集团</t>
        </is>
      </c>
      <c r="E33" s="44" t="inlineStr">
        <is>
          <t>秦翠</t>
        </is>
      </c>
      <c r="F33" s="44" t="inlineStr">
        <is>
          <t>0516-80295260</t>
        </is>
      </c>
      <c r="G33" s="44" t="inlineStr">
        <is>
          <t>18751615310</t>
        </is>
      </c>
      <c r="H33" s="44" t="inlineStr">
        <is>
          <t>qincui@saimo.cn</t>
        </is>
      </c>
      <c r="K33" s="44" t="inlineStr">
        <is>
          <t>91320300608014945G</t>
        </is>
      </c>
      <c r="L33" s="44" t="inlineStr">
        <is>
          <t>13%</t>
        </is>
      </c>
      <c r="M33" s="44" t="inlineStr">
        <is>
          <t>赛摩智能科技集团股份有限公司</t>
        </is>
      </c>
      <c r="N33" s="44" t="inlineStr">
        <is>
          <t>交通银行徐州开发区支行</t>
        </is>
      </c>
      <c r="O33" s="44" t="inlineStr">
        <is>
          <t>赛摩智能科技集团股份有限公司</t>
        </is>
      </c>
      <c r="T33" s="44" t="inlineStr">
        <is>
          <t>江苏省徐州市经济技术开发区螺山2号</t>
        </is>
      </c>
      <c r="W33" s="44" t="inlineStr">
        <is>
          <t>正常</t>
        </is>
      </c>
      <c r="X33" s="44" t="inlineStr">
        <is>
          <t>BMGG-MAZ-PO-SMZNKJ-5500-24106</t>
        </is>
      </c>
    </row>
    <row r="34" hidden="1">
      <c r="A34" s="44" t="inlineStr">
        <is>
          <t>供应商</t>
        </is>
      </c>
      <c r="B34" s="44" t="inlineStr">
        <is>
          <t>青岛高晟工程机械租赁有限公司</t>
        </is>
      </c>
      <c r="C34" s="64" t="inlineStr">
        <is>
          <t>Supplier_033</t>
        </is>
      </c>
      <c r="D34" s="44" t="inlineStr">
        <is>
          <t>青岛高晟工程机械</t>
        </is>
      </c>
      <c r="K34" s="44" t="inlineStr">
        <is>
          <t>91370214334197042E</t>
        </is>
      </c>
      <c r="L34" s="44" t="inlineStr">
        <is>
          <t>13%</t>
        </is>
      </c>
      <c r="M34" s="44" t="inlineStr">
        <is>
          <t>青岛高晟工程机械租赁有限公司</t>
        </is>
      </c>
      <c r="N34" s="44" t="inlineStr">
        <is>
          <t>青岛农商银行股份有限公司城阳西城支行</t>
        </is>
      </c>
      <c r="O34" s="44" t="inlineStr">
        <is>
          <t>青岛高晟工程机械租赁有限公司</t>
        </is>
      </c>
      <c r="P34" s="44" t="inlineStr">
        <is>
          <t>9020102300642050009958</t>
        </is>
      </c>
      <c r="T34" s="44" t="inlineStr">
        <is>
          <t>山东省青岛市高新区智力岛路1号创业大厦B座306室A-479</t>
        </is>
      </c>
      <c r="U34" s="44" t="inlineStr">
        <is>
          <t>苏林昌</t>
        </is>
      </c>
      <c r="W34" s="44" t="inlineStr">
        <is>
          <t>正常</t>
        </is>
      </c>
    </row>
    <row r="35" hidden="1">
      <c r="A35" s="44" t="inlineStr">
        <is>
          <t>供应商</t>
        </is>
      </c>
      <c r="B35" s="44" t="inlineStr">
        <is>
          <t>程力专用汽车股份有限公司</t>
        </is>
      </c>
      <c r="C35" s="64" t="inlineStr">
        <is>
          <t>Supplier_034</t>
        </is>
      </c>
      <c r="D35" s="44" t="inlineStr">
        <is>
          <t>程力专用汽车</t>
        </is>
      </c>
      <c r="G35" s="44" t="inlineStr">
        <is>
          <t>18272359088</t>
        </is>
      </c>
      <c r="K35" s="44" t="inlineStr">
        <is>
          <t>91421300764141823Q</t>
        </is>
      </c>
      <c r="M35" s="44" t="inlineStr">
        <is>
          <t>程力专用汽车股份有限公司</t>
        </is>
      </c>
      <c r="O35" s="44" t="inlineStr">
        <is>
          <t>程力专用汽车股份有限公司</t>
        </is>
      </c>
      <c r="P35" s="44" t="inlineStr">
        <is>
          <t>565157553152</t>
        </is>
      </c>
      <c r="T35" s="44" t="inlineStr">
        <is>
          <t>湖北省随州市南郊平原岗程力汽车工业园</t>
        </is>
      </c>
      <c r="W35" s="44" t="inlineStr">
        <is>
          <t>正常</t>
        </is>
      </c>
      <c r="X35" s="44" t="inlineStr">
        <is>
          <t>BMGG-MAZ-CHENGLI-5500-23015</t>
        </is>
      </c>
    </row>
    <row r="36" hidden="1">
      <c r="A36" s="44" t="inlineStr">
        <is>
          <t>供应商</t>
        </is>
      </c>
      <c r="B36" s="44" t="inlineStr">
        <is>
          <t>湖北五环专用汽车有限公司</t>
        </is>
      </c>
      <c r="C36" s="64" t="inlineStr">
        <is>
          <t>Supplier_035</t>
        </is>
      </c>
      <c r="D36" s="44" t="inlineStr">
        <is>
          <t>五环专用汽车</t>
        </is>
      </c>
      <c r="E36" s="44" t="inlineStr">
        <is>
          <t>李建莉</t>
        </is>
      </c>
      <c r="G36" s="44" t="inlineStr">
        <is>
          <t>13597840300</t>
        </is>
      </c>
      <c r="K36" s="44" t="inlineStr">
        <is>
          <t>91421300679783151G</t>
        </is>
      </c>
      <c r="L36" s="44" t="inlineStr">
        <is>
          <t>13%</t>
        </is>
      </c>
      <c r="M36" s="44" t="inlineStr">
        <is>
          <t>湖北五环专用汽车有限公司</t>
        </is>
      </c>
      <c r="N36" s="44" t="inlineStr">
        <is>
          <t>中国农业银行股份有限公司随州城南支行</t>
        </is>
      </c>
      <c r="O36" s="44" t="inlineStr">
        <is>
          <t>湖北五环专用汽车有限公司</t>
        </is>
      </c>
      <c r="P36" s="44" t="inlineStr">
        <is>
          <t>17782901048888880</t>
        </is>
      </c>
      <c r="T36" s="44" t="inlineStr">
        <is>
          <t>湖北省随州市经济开发区交通大道K155号</t>
        </is>
      </c>
      <c r="U36" s="44" t="inlineStr">
        <is>
          <t>王小华</t>
        </is>
      </c>
      <c r="W36" s="44" t="inlineStr">
        <is>
          <t>正常</t>
        </is>
      </c>
      <c r="X36" s="44" t="inlineStr">
        <is>
          <t>BMGG-MAZ-HBLC-23011；BMGG-MAZ-WUHUAN-5500-23014</t>
        </is>
      </c>
    </row>
    <row r="37" hidden="1">
      <c r="A37" s="44" t="inlineStr">
        <is>
          <t>供应商</t>
        </is>
      </c>
      <c r="B37" s="44" t="inlineStr">
        <is>
          <t>河北北方窑业工程有限公司</t>
        </is>
      </c>
      <c r="C37" s="64" t="inlineStr">
        <is>
          <t>Supplier_036</t>
        </is>
      </c>
      <c r="D37" s="44" t="inlineStr">
        <is>
          <t>北方窑业工程</t>
        </is>
      </c>
      <c r="K37" s="44" t="inlineStr">
        <is>
          <t>911301277009649005</t>
        </is>
      </c>
      <c r="M37" s="44" t="inlineStr">
        <is>
          <t>河北北方窑业工程有限公司</t>
        </is>
      </c>
      <c r="O37" s="44" t="inlineStr">
        <is>
          <t>河北北方窑业工程有限公司</t>
        </is>
      </c>
      <c r="T37" s="44" t="inlineStr">
        <is>
          <t>河北省石家庄市高邑县高邑镇千秋路339号1排208室</t>
        </is>
      </c>
      <c r="W37" s="44" t="inlineStr">
        <is>
          <t>正常</t>
        </is>
      </c>
      <c r="X37" s="44" t="inlineStr">
        <is>
          <t>BMGG-KIL15-INS-BRK</t>
        </is>
      </c>
    </row>
    <row r="38" hidden="1">
      <c r="A38" s="44" t="inlineStr">
        <is>
          <t>供应商</t>
        </is>
      </c>
      <c r="B38" s="44" t="inlineStr">
        <is>
          <t>盛隆电气集团有限公司</t>
        </is>
      </c>
      <c r="C38" s="64" t="inlineStr">
        <is>
          <t>Supplier_037</t>
        </is>
      </c>
      <c r="D38" s="44" t="inlineStr">
        <is>
          <t>盛隆电气</t>
        </is>
      </c>
      <c r="E38" s="44" t="inlineStr">
        <is>
          <t>刘晨</t>
        </is>
      </c>
      <c r="G38" s="44" t="inlineStr">
        <is>
          <t>13476155677</t>
        </is>
      </c>
      <c r="H38" s="44" t="inlineStr">
        <is>
          <t>36492636@qq.com</t>
        </is>
      </c>
      <c r="K38" s="44" t="inlineStr">
        <is>
          <t>91420000714523567B</t>
        </is>
      </c>
      <c r="L38" s="44" t="inlineStr">
        <is>
          <t>13%</t>
        </is>
      </c>
      <c r="M38" s="44" t="inlineStr">
        <is>
          <t>盛隆电气集团有限公司</t>
        </is>
      </c>
      <c r="N38" s="44" t="inlineStr">
        <is>
          <t>工商银行武汉关东工业园支行</t>
        </is>
      </c>
      <c r="O38" s="44" t="inlineStr">
        <is>
          <t>盛隆电气集团有限公司</t>
        </is>
      </c>
      <c r="T38" s="44" t="inlineStr">
        <is>
          <t>湖北省武汉市东湖新技术开发区高新二路40号盛隆电气集团总部1-1</t>
        </is>
      </c>
      <c r="U38" s="44" t="inlineStr">
        <is>
          <t>谢元德</t>
        </is>
      </c>
      <c r="W38" s="44" t="inlineStr">
        <is>
          <t>正常</t>
        </is>
      </c>
      <c r="X38" s="44" t="inlineStr">
        <is>
          <t>BMGG-MAZ-PO-SLDQJT-5500-23039；BMGG-MAZ-PO-SLDQJT-5500-23048</t>
        </is>
      </c>
    </row>
    <row r="39" hidden="1">
      <c r="A39" s="44" t="inlineStr">
        <is>
          <t>供应商</t>
        </is>
      </c>
      <c r="B39" s="44" t="inlineStr">
        <is>
          <t>中船重工（上海）新能源有限公司</t>
        </is>
      </c>
      <c r="C39" s="64" t="inlineStr">
        <is>
          <t>Supplier_038</t>
        </is>
      </c>
      <c r="D39" s="44" t="inlineStr">
        <is>
          <t>中船重工新能源</t>
        </is>
      </c>
      <c r="E39" s="44" t="inlineStr">
        <is>
          <t>秦啸</t>
        </is>
      </c>
      <c r="G39" s="44" t="inlineStr">
        <is>
          <t>15839198183</t>
        </is>
      </c>
      <c r="H39" s="44" t="inlineStr">
        <is>
          <t>qinxiao@jzcreation.com</t>
        </is>
      </c>
      <c r="K39" s="44" t="inlineStr">
        <is>
          <t>913101155647651809</t>
        </is>
      </c>
      <c r="L39" s="44" t="inlineStr">
        <is>
          <t>13%</t>
        </is>
      </c>
      <c r="M39" s="44" t="inlineStr">
        <is>
          <t>中船重工（上海）新能源有限公司</t>
        </is>
      </c>
      <c r="O39" s="44" t="inlineStr">
        <is>
          <t>中船重工（上海）新能源有限公司</t>
        </is>
      </c>
      <c r="T39" s="44" t="inlineStr">
        <is>
          <t>中国（上海）自由贸易试验区牛顿路400号3号楼107、109、111室</t>
        </is>
      </c>
      <c r="U39" s="44" t="inlineStr">
        <is>
          <t>贺志坚</t>
        </is>
      </c>
      <c r="W39" s="44" t="inlineStr">
        <is>
          <t>正常</t>
        </is>
      </c>
      <c r="X39" s="44" t="inlineStr">
        <is>
          <t>BMGS-PO-ZCZG（SH）SNY-001</t>
        </is>
      </c>
    </row>
    <row r="40" hidden="1">
      <c r="A40" s="44" t="inlineStr">
        <is>
          <t>供应商</t>
        </is>
      </c>
      <c r="B40" s="44" t="inlineStr">
        <is>
          <t>内蒙古北方重型汽车股份有限公司</t>
        </is>
      </c>
      <c r="C40" s="64" t="inlineStr">
        <is>
          <t>Supplier_039</t>
        </is>
      </c>
      <c r="D40" s="44" t="inlineStr">
        <is>
          <t>北方重型汽车</t>
        </is>
      </c>
      <c r="F40" s="44" t="inlineStr">
        <is>
          <t>0472-2220788</t>
        </is>
      </c>
      <c r="K40" s="44" t="inlineStr">
        <is>
          <t>911502006264414226</t>
        </is>
      </c>
      <c r="L40" s="44" t="inlineStr">
        <is>
          <t>13%</t>
        </is>
      </c>
      <c r="M40" s="44" t="inlineStr">
        <is>
          <t>内蒙古北方重型汽车股份有限公司</t>
        </is>
      </c>
      <c r="N40" s="44" t="inlineStr">
        <is>
          <t>中国银行包头分行</t>
        </is>
      </c>
      <c r="O40" s="44" t="inlineStr">
        <is>
          <t>内蒙古北方重型汽车股份有限公司</t>
        </is>
      </c>
      <c r="P40" s="44" t="inlineStr">
        <is>
          <t>158301791508091001</t>
        </is>
      </c>
      <c r="T40" s="44" t="inlineStr">
        <is>
          <t>内蒙古自治区包头市稀土高新技术产业开发区</t>
        </is>
      </c>
      <c r="W40" s="44" t="inlineStr">
        <is>
          <t>正常</t>
        </is>
      </c>
      <c r="X40" s="44" t="inlineStr">
        <is>
          <t>BMGG/BMGS/GMI</t>
        </is>
      </c>
    </row>
    <row r="41" hidden="1">
      <c r="A41" s="44" t="inlineStr">
        <is>
          <t>供应商</t>
        </is>
      </c>
      <c r="B41" s="44" t="inlineStr">
        <is>
          <t>重庆重通罗茨鼓风机有限公司</t>
        </is>
      </c>
      <c r="C41" s="64" t="inlineStr">
        <is>
          <t>Supplier_040</t>
        </is>
      </c>
      <c r="D41" s="44" t="inlineStr">
        <is>
          <t>重通罗茨鼓风机</t>
        </is>
      </c>
      <c r="F41" s="44" t="inlineStr">
        <is>
          <t>023-65266536</t>
        </is>
      </c>
      <c r="G41" s="44" t="inlineStr">
        <is>
          <t>13368117860</t>
        </is>
      </c>
      <c r="K41" s="44" t="inlineStr">
        <is>
          <t>9150011279352580X3</t>
        </is>
      </c>
      <c r="L41" s="44" t="inlineStr">
        <is>
          <t>13%</t>
        </is>
      </c>
      <c r="M41" s="44" t="inlineStr">
        <is>
          <t>重庆重通罗茨鼓风机有限公司</t>
        </is>
      </c>
      <c r="N41" s="44" t="inlineStr">
        <is>
          <t>中国银行重庆渝北支行</t>
        </is>
      </c>
      <c r="O41" s="44" t="inlineStr">
        <is>
          <t>重庆重通罗茨鼓风机有限公司</t>
        </is>
      </c>
      <c r="P41" s="44" t="inlineStr">
        <is>
          <t>111606218331</t>
        </is>
      </c>
      <c r="T41" s="44" t="inlineStr">
        <is>
          <t>重庆市渝北区龙溪街道办事处松石南路38号A幢6-1</t>
        </is>
      </c>
      <c r="W41" s="44" t="inlineStr">
        <is>
          <t>正常</t>
        </is>
      </c>
      <c r="X41" s="44" t="inlineStr">
        <is>
          <t>BS-BMGG-2022090</t>
        </is>
      </c>
    </row>
    <row r="42" hidden="1">
      <c r="A42" s="44" t="inlineStr">
        <is>
          <t>供应商</t>
        </is>
      </c>
      <c r="B42" s="44" t="inlineStr">
        <is>
          <t>江苏苏滤环保科技有限公司</t>
        </is>
      </c>
      <c r="C42" s="64" t="inlineStr">
        <is>
          <t>Supplier_041</t>
        </is>
      </c>
      <c r="D42" s="44" t="inlineStr">
        <is>
          <t>苏滤环保科技</t>
        </is>
      </c>
      <c r="F42" s="44" t="inlineStr">
        <is>
          <t>0519-81818669</t>
        </is>
      </c>
      <c r="G42" s="44" t="inlineStr">
        <is>
          <t>17751599992</t>
        </is>
      </c>
      <c r="H42" s="44" t="inlineStr">
        <is>
          <t>1119336655@qq.com</t>
        </is>
      </c>
      <c r="K42" s="44" t="inlineStr">
        <is>
          <t>91320411MA20XTAC1N</t>
        </is>
      </c>
      <c r="L42" s="44" t="inlineStr">
        <is>
          <t>13%</t>
        </is>
      </c>
      <c r="M42" s="44" t="inlineStr">
        <is>
          <t>江苏苏滤环保科技有限公司</t>
        </is>
      </c>
      <c r="N42" s="44" t="inlineStr">
        <is>
          <t>中国工商银行股份有限公司常州春江支行</t>
        </is>
      </c>
      <c r="O42" s="44" t="inlineStr">
        <is>
          <t>江苏苏滤环保科技有限公司</t>
        </is>
      </c>
      <c r="T42" s="44" t="inlineStr">
        <is>
          <t>江苏省常州市新北区春江中路171号-411</t>
        </is>
      </c>
      <c r="W42" s="44" t="inlineStr">
        <is>
          <t>正常</t>
        </is>
      </c>
      <c r="X42" s="44" t="inlineStr">
        <is>
          <t>BMGG-MAZ-PO-JSSLHB-5500-23046</t>
        </is>
      </c>
    </row>
    <row r="43" hidden="1">
      <c r="A43" s="44" t="inlineStr">
        <is>
          <t>供应商</t>
        </is>
      </c>
      <c r="B43" s="44" t="inlineStr">
        <is>
          <t>中国路桥工程有限责任公司</t>
        </is>
      </c>
      <c r="C43" s="64" t="inlineStr">
        <is>
          <t>Supplier_042</t>
        </is>
      </c>
      <c r="D43" s="44" t="inlineStr">
        <is>
          <t>路桥工程</t>
        </is>
      </c>
      <c r="E43" s="44" t="inlineStr">
        <is>
          <t>文川</t>
        </is>
      </c>
      <c r="H43" s="44" t="inlineStr">
        <is>
          <t>ccc_guy2023@163.com</t>
        </is>
      </c>
      <c r="K43" s="44" t="inlineStr">
        <is>
          <t>911100007109338178</t>
        </is>
      </c>
      <c r="L43" s="44" t="inlineStr">
        <is>
          <t>13%</t>
        </is>
      </c>
      <c r="M43" s="44" t="inlineStr">
        <is>
          <t>中国路桥工程有限责任公司</t>
        </is>
      </c>
      <c r="O43" s="44" t="inlineStr">
        <is>
          <t>中国路桥工程有限责任公司</t>
        </is>
      </c>
      <c r="T43" s="44" t="inlineStr">
        <is>
          <t>北京市东城区安定门外大街丙88号1008</t>
        </is>
      </c>
      <c r="W43" s="44" t="inlineStr">
        <is>
          <t>正常</t>
        </is>
      </c>
      <c r="X43" s="44" t="inlineStr">
        <is>
          <t>BMGG-MAZ-CE-ZJ-5500-23034</t>
        </is>
      </c>
    </row>
    <row r="44" hidden="1">
      <c r="A44" s="44" t="inlineStr">
        <is>
          <t>供应商</t>
        </is>
      </c>
      <c r="B44" s="44" t="inlineStr">
        <is>
          <t>重庆承信维科技有限公司</t>
        </is>
      </c>
      <c r="C44" s="64" t="inlineStr">
        <is>
          <t>Supplier_043</t>
        </is>
      </c>
      <c r="D44" s="44" t="inlineStr">
        <is>
          <t>承信维科技</t>
        </is>
      </c>
      <c r="K44" s="44" t="inlineStr">
        <is>
          <t>91500107MA60AKCC12</t>
        </is>
      </c>
      <c r="L44" s="44" t="inlineStr">
        <is>
          <t>13%</t>
        </is>
      </c>
      <c r="M44" s="44" t="inlineStr">
        <is>
          <t>重庆承信维科技有限公司</t>
        </is>
      </c>
      <c r="O44" s="44" t="inlineStr">
        <is>
          <t>重庆承信维科技有限公司</t>
        </is>
      </c>
      <c r="T44" s="44" t="inlineStr">
        <is>
          <t>重庆市九龙坡区渝州路18号高创锦业17-2号</t>
        </is>
      </c>
      <c r="W44" s="44" t="inlineStr">
        <is>
          <t>正常</t>
        </is>
      </c>
    </row>
    <row r="45" hidden="1">
      <c r="A45" s="44" t="inlineStr">
        <is>
          <t>供应商</t>
        </is>
      </c>
      <c r="B45" s="44" t="inlineStr">
        <is>
          <t>易初明通投资有限公司</t>
        </is>
      </c>
      <c r="C45" s="64" t="inlineStr">
        <is>
          <t>Supplier_044</t>
        </is>
      </c>
      <c r="D45" s="44" t="inlineStr">
        <is>
          <t>易初明通投资</t>
        </is>
      </c>
      <c r="G45" s="44" t="inlineStr">
        <is>
          <t>13983287518</t>
        </is>
      </c>
      <c r="H45" s="44" t="inlineStr">
        <is>
          <t>pengzhubo@eci-metro.cn</t>
        </is>
      </c>
      <c r="K45" s="44" t="inlineStr">
        <is>
          <t>91510112698859721C</t>
        </is>
      </c>
      <c r="M45" s="44" t="inlineStr">
        <is>
          <t>易初明通投资有限公司</t>
        </is>
      </c>
      <c r="O45" s="44" t="inlineStr">
        <is>
          <t>易初明通投资有限公司</t>
        </is>
      </c>
      <c r="T45" s="44" t="inlineStr">
        <is>
          <t>英属维尔京群岛（BVI）；中国运营总部：云南省昆明经济技术开发区经华路6号</t>
        </is>
      </c>
      <c r="W45" s="44" t="inlineStr">
        <is>
          <t>正常</t>
        </is>
      </c>
      <c r="X45" s="44" t="inlineStr">
        <is>
          <t>BMGG-MAZ-ECIM-5500-23006</t>
        </is>
      </c>
    </row>
    <row r="46" hidden="1">
      <c r="A46" s="44" t="inlineStr">
        <is>
          <t>供应商</t>
        </is>
      </c>
      <c r="B46" s="44" t="inlineStr">
        <is>
          <t>四川易初明通工程机械维修服务有限公司</t>
        </is>
      </c>
      <c r="C46" s="64" t="inlineStr">
        <is>
          <t>Supplier_045</t>
        </is>
      </c>
      <c r="D46" s="44" t="inlineStr">
        <is>
          <t>易初明通工程机械</t>
        </is>
      </c>
      <c r="E46" s="44" t="inlineStr">
        <is>
          <t>彭著波</t>
        </is>
      </c>
      <c r="F46" s="44" t="inlineStr">
        <is>
          <t>028-88456888</t>
        </is>
      </c>
      <c r="G46" s="44" t="inlineStr">
        <is>
          <t>13983287518</t>
        </is>
      </c>
      <c r="H46" s="44" t="inlineStr">
        <is>
          <t>pengzhubo@eci-metro.cn</t>
        </is>
      </c>
      <c r="K46" s="44" t="inlineStr">
        <is>
          <t>91510100621707770G</t>
        </is>
      </c>
      <c r="L46" s="44" t="inlineStr">
        <is>
          <t>13%</t>
        </is>
      </c>
      <c r="M46" s="44" t="inlineStr">
        <is>
          <t>四川易初明通工程机械维修服务有限公司</t>
        </is>
      </c>
      <c r="N46" s="44" t="inlineStr">
        <is>
          <t>中国工商银行股份有限公司成都峨影支行</t>
        </is>
      </c>
      <c r="O46" s="44" t="inlineStr">
        <is>
          <t>四川易初明通工程机械维修服务有限公司</t>
        </is>
      </c>
      <c r="P46" s="44" t="inlineStr">
        <is>
          <t>4402265009024201396</t>
        </is>
      </c>
      <c r="T46" s="44" t="inlineStr">
        <is>
          <t>四川省成都市经济技术开发区（龙泉驿区）成龙大道二段1998号</t>
        </is>
      </c>
      <c r="W46" s="44" t="inlineStr">
        <is>
          <t>正常</t>
        </is>
      </c>
      <c r="X46" s="44" t="inlineStr">
        <is>
          <t>BMGG-MAZ-ECIM-5500-23007</t>
        </is>
      </c>
    </row>
    <row r="47" hidden="1">
      <c r="A47" s="44" t="inlineStr">
        <is>
          <t>供应商</t>
        </is>
      </c>
      <c r="B47" s="44" t="inlineStr">
        <is>
          <t>重庆合力叉车有限公司</t>
        </is>
      </c>
      <c r="C47" s="64" t="inlineStr">
        <is>
          <t>Supplier_046</t>
        </is>
      </c>
      <c r="D47" s="44" t="inlineStr">
        <is>
          <t>合力叉车</t>
        </is>
      </c>
      <c r="F47" s="44" t="inlineStr">
        <is>
          <t>023-68603252</t>
        </is>
      </c>
      <c r="G47" s="44" t="inlineStr">
        <is>
          <t>13594385593</t>
        </is>
      </c>
      <c r="K47" s="44" t="inlineStr">
        <is>
          <t>91500106774856726T</t>
        </is>
      </c>
      <c r="L47" s="44" t="inlineStr">
        <is>
          <t>13%</t>
        </is>
      </c>
      <c r="M47" s="44" t="inlineStr">
        <is>
          <t>重庆合力叉车有限公司</t>
        </is>
      </c>
      <c r="N47" s="44" t="inlineStr">
        <is>
          <t>工行鱼嘴支行</t>
        </is>
      </c>
      <c r="O47" s="44" t="inlineStr">
        <is>
          <t>重庆合力叉车有限公司</t>
        </is>
      </c>
      <c r="P47" s="44" t="inlineStr">
        <is>
          <t>3100039119100024787</t>
        </is>
      </c>
      <c r="T47" s="44" t="inlineStr">
        <is>
          <t>重庆市江北区复盛镇渝康大道72号16幢</t>
        </is>
      </c>
      <c r="U47" s="44" t="inlineStr">
        <is>
          <t>张勇</t>
        </is>
      </c>
      <c r="W47" s="44" t="inlineStr">
        <is>
          <t>正常</t>
        </is>
      </c>
      <c r="X47" s="44" t="inlineStr">
        <is>
          <t>BS-BMGG-20230XX</t>
        </is>
      </c>
    </row>
    <row r="48" hidden="1">
      <c r="A48" s="44" t="inlineStr">
        <is>
          <t>供应商</t>
        </is>
      </c>
      <c r="B48" s="44" t="inlineStr">
        <is>
          <t>洛阳九亿重工集团有限公司</t>
        </is>
      </c>
      <c r="C48" s="64" t="inlineStr">
        <is>
          <t>Supplier_047</t>
        </is>
      </c>
      <c r="D48" s="44" t="inlineStr">
        <is>
          <t>洛阳九亿重工</t>
        </is>
      </c>
      <c r="E48" s="44" t="inlineStr">
        <is>
          <t>李帅军</t>
        </is>
      </c>
      <c r="F48" s="44" t="inlineStr">
        <is>
          <t>0379-67311968</t>
        </is>
      </c>
      <c r="G48" s="44" t="inlineStr">
        <is>
          <t>15036376907</t>
        </is>
      </c>
      <c r="K48" s="44" t="inlineStr">
        <is>
          <t>914103236716565104</t>
        </is>
      </c>
      <c r="L48" s="44" t="inlineStr">
        <is>
          <t>13%</t>
        </is>
      </c>
      <c r="M48" s="44" t="inlineStr">
        <is>
          <t>洛阳九亿重工集团有限公司</t>
        </is>
      </c>
      <c r="N48" s="44" t="inlineStr">
        <is>
          <t>交通银行文化支行</t>
        </is>
      </c>
      <c r="O48" s="44" t="inlineStr">
        <is>
          <t>洛阳九亿重工集团有限公司</t>
        </is>
      </c>
      <c r="P48" s="44" t="inlineStr">
        <is>
          <t>413067000018150053233</t>
        </is>
      </c>
      <c r="T48" s="44" t="inlineStr">
        <is>
          <t>河南省洛阳市新安县经济技术开发区洛新园区福星路91号</t>
        </is>
      </c>
      <c r="U48" s="44" t="inlineStr">
        <is>
          <t>王颖珂</t>
        </is>
      </c>
      <c r="W48" s="44" t="inlineStr">
        <is>
          <t>正常</t>
        </is>
      </c>
      <c r="X48" s="44" t="inlineStr">
        <is>
          <t>BS-BMGG-2023007；BS-BMGG-2023021</t>
        </is>
      </c>
    </row>
    <row r="49" hidden="1">
      <c r="A49" s="44" t="inlineStr">
        <is>
          <t>供应商</t>
        </is>
      </c>
      <c r="B49" s="44" t="inlineStr">
        <is>
          <t>天津荣信船务代理有限公司</t>
        </is>
      </c>
      <c r="C49" s="64" t="inlineStr">
        <is>
          <t>Supplier_048</t>
        </is>
      </c>
      <c r="D49" s="44" t="inlineStr">
        <is>
          <t>荣信船务代理</t>
        </is>
      </c>
      <c r="K49" s="44" t="inlineStr">
        <is>
          <t>91120116675954806A</t>
        </is>
      </c>
      <c r="M49" s="44" t="inlineStr">
        <is>
          <t>天津荣信船务代理有限公司</t>
        </is>
      </c>
      <c r="O49" s="44" t="inlineStr">
        <is>
          <t>天津荣信船务代理有限公司</t>
        </is>
      </c>
      <c r="T49" s="44" t="inlineStr">
        <is>
          <t>天津经济技术开发区泰怡园1-1-1602</t>
        </is>
      </c>
      <c r="W49" s="44" t="inlineStr">
        <is>
          <t>正常</t>
        </is>
      </c>
      <c r="X49" s="44" t="inlineStr">
        <is>
          <t>BMGG-2022025HD</t>
        </is>
      </c>
    </row>
    <row r="50" hidden="1">
      <c r="A50" s="44" t="inlineStr">
        <is>
          <t>供应商</t>
        </is>
      </c>
      <c r="B50" s="44" t="inlineStr">
        <is>
          <t>三一重机有限公司</t>
        </is>
      </c>
      <c r="C50" s="64" t="inlineStr">
        <is>
          <t>Supplier_049</t>
        </is>
      </c>
      <c r="D50" s="44" t="inlineStr">
        <is>
          <t>三一重机</t>
        </is>
      </c>
      <c r="E50" s="44" t="inlineStr">
        <is>
          <t>封富元</t>
        </is>
      </c>
      <c r="G50" s="44" t="inlineStr">
        <is>
          <t>18267159163</t>
        </is>
      </c>
      <c r="H50" s="44" t="inlineStr">
        <is>
          <t>ron.feng@sany-americalatina.com</t>
        </is>
      </c>
      <c r="K50" s="44" t="inlineStr">
        <is>
          <t>91320583753205545N</t>
        </is>
      </c>
      <c r="L50" s="44" t="inlineStr">
        <is>
          <t>13%</t>
        </is>
      </c>
      <c r="M50" s="44" t="inlineStr">
        <is>
          <t>三一重机有限公司</t>
        </is>
      </c>
      <c r="N50" s="44" t="inlineStr">
        <is>
          <t>宁波银行苏州昆山支行营业部</t>
        </is>
      </c>
      <c r="O50" s="44" t="inlineStr">
        <is>
          <t>三一重机有限公司</t>
        </is>
      </c>
      <c r="P50" s="44" t="inlineStr">
        <is>
          <t>750901220000401832</t>
        </is>
      </c>
      <c r="T50" s="44" t="inlineStr">
        <is>
          <t>江苏省昆山开发区环城东路</t>
        </is>
      </c>
      <c r="U50" s="44" t="inlineStr">
        <is>
          <t>陈家元</t>
        </is>
      </c>
      <c r="W50" s="44" t="inlineStr">
        <is>
          <t>正常</t>
        </is>
      </c>
      <c r="X50" s="44" t="inlineStr">
        <is>
          <t>BMGG-MAZ-SANY-23003</t>
        </is>
      </c>
    </row>
    <row r="51" hidden="1">
      <c r="A51" s="44" t="inlineStr">
        <is>
          <t>供应商</t>
        </is>
      </c>
      <c r="B51" s="44" t="inlineStr">
        <is>
          <t>河北瑞成门窗有限公司</t>
        </is>
      </c>
      <c r="C51" s="64" t="inlineStr">
        <is>
          <t>Supplier_050</t>
        </is>
      </c>
      <c r="D51" s="44" t="inlineStr">
        <is>
          <t>瑞成门窗</t>
        </is>
      </c>
      <c r="G51" s="44" t="inlineStr">
        <is>
          <t>15830802033</t>
        </is>
      </c>
      <c r="K51" s="44" t="inlineStr">
        <is>
          <t>91130982398897494D</t>
        </is>
      </c>
      <c r="L51" s="44" t="inlineStr">
        <is>
          <t>13%</t>
        </is>
      </c>
      <c r="M51" s="44" t="inlineStr">
        <is>
          <t>河北瑞成门窗有限公司</t>
        </is>
      </c>
      <c r="N51" s="44" t="inlineStr">
        <is>
          <t>中国建设银行股份有限公司华北石油任南支行</t>
        </is>
      </c>
      <c r="O51" s="44" t="inlineStr">
        <is>
          <t>河北瑞成门窗有限公司</t>
        </is>
      </c>
      <c r="P51" s="44" t="inlineStr">
        <is>
          <t>13001690200059788888</t>
        </is>
      </c>
      <c r="T51" s="44" t="inlineStr">
        <is>
          <t>河北省沧州市任丘市石门桥镇崔家庄村139号</t>
        </is>
      </c>
      <c r="U51" s="44" t="inlineStr">
        <is>
          <t>李占常</t>
        </is>
      </c>
      <c r="W51" s="44" t="inlineStr">
        <is>
          <t>正常</t>
        </is>
      </c>
      <c r="X51" s="44" t="inlineStr">
        <is>
          <t>BS-BMGG-2023022</t>
        </is>
      </c>
    </row>
    <row r="52" hidden="1">
      <c r="A52" s="44" t="inlineStr">
        <is>
          <t>供应商</t>
        </is>
      </c>
      <c r="B52" s="44" t="inlineStr">
        <is>
          <t>七冶建设集团有限责任公司</t>
        </is>
      </c>
      <c r="C52" s="64" t="inlineStr">
        <is>
          <t>Supplier_051</t>
        </is>
      </c>
      <c r="D52" s="44" t="inlineStr">
        <is>
          <t>七冶建设集团</t>
        </is>
      </c>
      <c r="F52" s="44" t="inlineStr">
        <is>
          <t>0851-4601084</t>
        </is>
      </c>
      <c r="K52" s="44" t="inlineStr">
        <is>
          <t>915200006754090663</t>
        </is>
      </c>
      <c r="M52" s="44" t="inlineStr">
        <is>
          <t>七冶建设集团有限责任公司</t>
        </is>
      </c>
      <c r="N52" s="44" t="inlineStr">
        <is>
          <t>中国建设银行股份有限公司贵阳金阳支行</t>
        </is>
      </c>
      <c r="O52" s="44" t="inlineStr">
        <is>
          <t>七冶建设集团有限责任公司</t>
        </is>
      </c>
      <c r="T52" s="44" t="inlineStr">
        <is>
          <t>贵州省贵阳市白云区白云南路188号</t>
        </is>
      </c>
      <c r="U52" s="44" t="inlineStr">
        <is>
          <t>刘昭义</t>
        </is>
      </c>
      <c r="W52" s="44" t="inlineStr">
        <is>
          <t>正常</t>
        </is>
      </c>
      <c r="X52" s="44" t="inlineStr">
        <is>
          <t>BSG-GYN-BMGG-2019-001</t>
        </is>
      </c>
    </row>
    <row r="53" hidden="1">
      <c r="A53" s="44" t="inlineStr">
        <is>
          <t>供应商</t>
        </is>
      </c>
      <c r="B53" s="44" t="inlineStr">
        <is>
          <t>重庆蚁煌供应链管理有限责任公司</t>
        </is>
      </c>
      <c r="C53" s="64" t="inlineStr">
        <is>
          <t>Supplier_052</t>
        </is>
      </c>
      <c r="D53" s="44" t="inlineStr">
        <is>
          <t>蚁煌供应链管理</t>
        </is>
      </c>
      <c r="E53" s="44" t="inlineStr">
        <is>
          <t>田军</t>
        </is>
      </c>
      <c r="G53" s="44" t="inlineStr">
        <is>
          <t>18696790101</t>
        </is>
      </c>
      <c r="K53" s="44" t="inlineStr">
        <is>
          <t>91500000MA5YU26F7B</t>
        </is>
      </c>
      <c r="L53" s="44" t="inlineStr">
        <is>
          <t>13%</t>
        </is>
      </c>
      <c r="M53" s="44" t="inlineStr">
        <is>
          <t>重庆蚁煌供应链管理有限责任公司</t>
        </is>
      </c>
      <c r="N53" s="44" t="inlineStr">
        <is>
          <t>工商银行重庆北部新区支行</t>
        </is>
      </c>
      <c r="O53" s="44" t="inlineStr">
        <is>
          <t>重庆蚁煌供应链管理有限责任公司</t>
        </is>
      </c>
      <c r="P53" s="44" t="inlineStr">
        <is>
          <t>3100032009100252157</t>
        </is>
      </c>
      <c r="T53" s="44" t="inlineStr">
        <is>
          <t>重庆市北部新区经开园金渝大道111号华荣市场A326</t>
        </is>
      </c>
      <c r="W53" s="44" t="inlineStr">
        <is>
          <t>正常</t>
        </is>
      </c>
      <c r="X53" s="44" t="inlineStr">
        <is>
          <t>BS-YH2021012</t>
        </is>
      </c>
    </row>
    <row r="54" hidden="1">
      <c r="A54" s="44" t="inlineStr">
        <is>
          <t>供应商</t>
        </is>
      </c>
      <c r="B54" s="44" t="inlineStr">
        <is>
          <t>镇江中远海运物流有限公司</t>
        </is>
      </c>
      <c r="C54" s="64" t="inlineStr">
        <is>
          <t>Supplier_053</t>
        </is>
      </c>
      <c r="D54" s="44" t="inlineStr">
        <is>
          <t>镇江中远海运物流</t>
        </is>
      </c>
      <c r="K54" s="44" t="inlineStr">
        <is>
          <t>9132110072518859XX</t>
        </is>
      </c>
      <c r="M54" s="44" t="inlineStr">
        <is>
          <t>镇江中远海运物流有限公司</t>
        </is>
      </c>
      <c r="O54" s="44" t="inlineStr">
        <is>
          <t>镇江中远海运物流有限公司</t>
        </is>
      </c>
      <c r="T54" s="44" t="inlineStr">
        <is>
          <t>江苏省镇江市新区大港通港路130号</t>
        </is>
      </c>
      <c r="W54" s="44" t="inlineStr">
        <is>
          <t>正常</t>
        </is>
      </c>
      <c r="X54" s="44" t="inlineStr">
        <is>
          <t>BS-BMGG-2020110</t>
        </is>
      </c>
    </row>
    <row r="55" hidden="1">
      <c r="A55" s="44" t="inlineStr">
        <is>
          <t>供应商</t>
        </is>
      </c>
      <c r="B55" s="44" t="inlineStr">
        <is>
          <t>重庆市136地质队</t>
        </is>
      </c>
      <c r="C55" s="64" t="inlineStr">
        <is>
          <t>Supplier_054</t>
        </is>
      </c>
      <c r="D55" s="44" t="inlineStr">
        <is>
          <t>136地质队</t>
        </is>
      </c>
      <c r="E55" s="44" t="inlineStr">
        <is>
          <t>周中成</t>
        </is>
      </c>
      <c r="F55" s="44" t="inlineStr">
        <is>
          <t>023-67175372</t>
        </is>
      </c>
      <c r="G55" s="44" t="inlineStr">
        <is>
          <t>13637811666</t>
        </is>
      </c>
      <c r="H55" s="44" t="inlineStr">
        <is>
          <t>363597585@qq.com</t>
        </is>
      </c>
      <c r="K55" s="44" t="inlineStr">
        <is>
          <t>12500000742871331P</t>
        </is>
      </c>
      <c r="M55" s="44" t="inlineStr">
        <is>
          <t>重庆市136地质队</t>
        </is>
      </c>
      <c r="O55" s="44" t="inlineStr">
        <is>
          <t>重庆市136地质队</t>
        </is>
      </c>
      <c r="P55" s="44" t="inlineStr">
        <is>
          <t>50001063600050017886</t>
        </is>
      </c>
      <c r="T55" s="44" t="inlineStr">
        <is>
          <t>重庆市渝北区龙溪镇花卉园西一路9号</t>
        </is>
      </c>
      <c r="W55" s="44" t="inlineStr">
        <is>
          <t>正常</t>
        </is>
      </c>
      <c r="X55" s="44" t="inlineStr">
        <is>
          <t>BMGG-2025</t>
        </is>
      </c>
    </row>
    <row r="56" hidden="1">
      <c r="A56" s="44" t="inlineStr">
        <is>
          <t>供应商</t>
        </is>
      </c>
      <c r="B56" s="44" t="inlineStr">
        <is>
          <t>广西防城港华铭建筑安装有限公司</t>
        </is>
      </c>
      <c r="C56" s="64" t="inlineStr">
        <is>
          <t>Supplier_055</t>
        </is>
      </c>
      <c r="D56" s="44" t="inlineStr">
        <is>
          <t>防城港华铭建筑安</t>
        </is>
      </c>
      <c r="E56" s="44" t="inlineStr">
        <is>
          <t>宋新建</t>
        </is>
      </c>
      <c r="G56" s="44" t="inlineStr">
        <is>
          <t>13807763184</t>
        </is>
      </c>
      <c r="H56" s="44" t="inlineStr">
        <is>
          <t>13807763184@139.com</t>
        </is>
      </c>
      <c r="K56" s="44" t="inlineStr">
        <is>
          <t>91450602MA5PJ8GQ91</t>
        </is>
      </c>
      <c r="L56" s="44" t="inlineStr">
        <is>
          <t>6%</t>
        </is>
      </c>
      <c r="M56" s="44" t="inlineStr">
        <is>
          <t>广西防城港华铭建筑安装有限公司</t>
        </is>
      </c>
      <c r="N56" s="44" t="inlineStr">
        <is>
          <t>中国建设银行股份有限公司防城港分行</t>
        </is>
      </c>
      <c r="O56" s="44" t="inlineStr">
        <is>
          <t>广西防城港华铭建筑安装有限公司</t>
        </is>
      </c>
      <c r="P56" s="44" t="inlineStr">
        <is>
          <t>45050165958800001018</t>
        </is>
      </c>
      <c r="T56" s="44" t="inlineStr">
        <is>
          <t>广西壮族自治区防城港市港口区迎宾路1号金海湾小区C4组团A区一、二层04号铺</t>
        </is>
      </c>
      <c r="U56" s="44" t="inlineStr">
        <is>
          <t>宋新建</t>
        </is>
      </c>
      <c r="W56" s="44" t="inlineStr">
        <is>
          <t>正常</t>
        </is>
      </c>
      <c r="X56" s="44" t="inlineStr">
        <is>
          <t>2023WB-097</t>
        </is>
      </c>
    </row>
    <row r="57" hidden="1">
      <c r="A57" s="44" t="inlineStr">
        <is>
          <t>供应商</t>
        </is>
      </c>
      <c r="B57" s="44" t="inlineStr">
        <is>
          <t>北京智美通科技有限公司</t>
        </is>
      </c>
      <c r="C57" s="64" t="inlineStr">
        <is>
          <t>Supplier_056</t>
        </is>
      </c>
      <c r="D57" s="44" t="inlineStr">
        <is>
          <t>智美通科技</t>
        </is>
      </c>
      <c r="E57" s="44" t="inlineStr">
        <is>
          <t>张添翼</t>
        </is>
      </c>
      <c r="G57" s="44" t="inlineStr">
        <is>
          <t>15810937061</t>
        </is>
      </c>
      <c r="K57" s="44" t="inlineStr">
        <is>
          <t>91110228MA01DBNA72</t>
        </is>
      </c>
      <c r="M57" s="44" t="inlineStr">
        <is>
          <t>北京智美通科技有限公司</t>
        </is>
      </c>
      <c r="N57" s="44" t="inlineStr">
        <is>
          <t>中国民生银行北京大兴新城支行</t>
        </is>
      </c>
      <c r="O57" s="44" t="inlineStr">
        <is>
          <t>北京智美通科技有限公司</t>
        </is>
      </c>
      <c r="T57" s="44" t="inlineStr">
        <is>
          <t>北京市密云区穆家峪镇穆峪南街1号镇政府办公楼401室-904</t>
        </is>
      </c>
      <c r="W57" s="44" t="inlineStr">
        <is>
          <t>正常</t>
        </is>
      </c>
      <c r="X57" s="44" t="inlineStr">
        <is>
          <t>BMGG-MAZ-ZMT-5500-23018</t>
        </is>
      </c>
    </row>
    <row r="58" hidden="1">
      <c r="A58" s="44" t="inlineStr">
        <is>
          <t>供应商</t>
        </is>
      </c>
      <c r="B58" s="44" t="inlineStr">
        <is>
          <t>厦门金龙旅行车有限公司</t>
        </is>
      </c>
      <c r="C58" s="64" t="inlineStr">
        <is>
          <t>Supplier_057</t>
        </is>
      </c>
      <c r="D58" s="44" t="inlineStr">
        <is>
          <t>厦门金龙旅行车</t>
        </is>
      </c>
      <c r="K58" s="44" t="inlineStr">
        <is>
          <t>91350200612012520X</t>
        </is>
      </c>
      <c r="M58" s="44" t="inlineStr">
        <is>
          <t>厦门金龙旅行车有限公司</t>
        </is>
      </c>
      <c r="N58" s="44" t="inlineStr">
        <is>
          <t>中国建设银行厦门分行厦禾支行</t>
        </is>
      </c>
      <c r="O58" s="44" t="inlineStr">
        <is>
          <t>厦门金龙旅行车有限公司</t>
        </is>
      </c>
      <c r="P58" s="44" t="inlineStr">
        <is>
          <t>35114561000220101694</t>
        </is>
      </c>
      <c r="T58" s="44" t="inlineStr">
        <is>
          <t>福建省厦门市湖里区湖里大道69号（办公楼）</t>
        </is>
      </c>
      <c r="W58" s="44" t="inlineStr">
        <is>
          <t>正常</t>
        </is>
      </c>
      <c r="X58" s="44" t="inlineStr">
        <is>
          <t>BMGG-MAZ-GOLDENDRAGONBUS-5500-23010</t>
        </is>
      </c>
    </row>
    <row r="59" hidden="1">
      <c r="A59" s="44" t="inlineStr">
        <is>
          <t>供应商</t>
        </is>
      </c>
      <c r="B59" s="44" t="inlineStr">
        <is>
          <t>徐州徐矿业机械有限公司</t>
        </is>
      </c>
      <c r="C59" s="64" t="inlineStr">
        <is>
          <t>Supplier_058</t>
        </is>
      </c>
      <c r="D59" s="44" t="inlineStr">
        <is>
          <t>徐州徐矿业机械</t>
        </is>
      </c>
      <c r="G59" s="44" t="inlineStr">
        <is>
          <t>18883987066</t>
        </is>
      </c>
      <c r="H59" s="44" t="inlineStr">
        <is>
          <t>quxiaolong@xcmg.com</t>
        </is>
      </c>
      <c r="K59" s="44" t="inlineStr">
        <is>
          <t>91320301MA1MA70W4N</t>
        </is>
      </c>
      <c r="L59" s="44" t="inlineStr">
        <is>
          <t>13%</t>
        </is>
      </c>
      <c r="M59" s="44" t="inlineStr">
        <is>
          <t>徐州徐矿业机械有限公司</t>
        </is>
      </c>
      <c r="O59" s="44" t="inlineStr">
        <is>
          <t>徐州徐矿业机械有限公司</t>
        </is>
      </c>
      <c r="P59" s="44" t="inlineStr">
        <is>
          <t>1106020109200422949</t>
        </is>
      </c>
      <c r="T59" s="44" t="inlineStr">
        <is>
          <t>江苏省徐州经济技术开发区和平大道169号</t>
        </is>
      </c>
      <c r="W59" s="44" t="inlineStr">
        <is>
          <t>正常</t>
        </is>
      </c>
    </row>
    <row r="60" hidden="1">
      <c r="A60" s="44" t="inlineStr">
        <is>
          <t>供应商</t>
        </is>
      </c>
      <c r="B60" s="44" t="inlineStr">
        <is>
          <t>重型汽车（杭州）有限公司</t>
        </is>
      </c>
      <c r="C60" s="64" t="inlineStr">
        <is>
          <t>Supplier_059</t>
        </is>
      </c>
      <c r="D60" s="44" t="inlineStr">
        <is>
          <t>重型汽车</t>
        </is>
      </c>
      <c r="K60" s="44" t="inlineStr">
        <is>
          <t>913301045865179110</t>
        </is>
      </c>
      <c r="M60" s="44" t="inlineStr">
        <is>
          <t>重型汽车（杭州）有限公司</t>
        </is>
      </c>
      <c r="O60" s="44" t="inlineStr">
        <is>
          <t>重型汽车（杭州）有限公司</t>
        </is>
      </c>
      <c r="P60" s="44" t="inlineStr">
        <is>
          <t>71032025000067314</t>
        </is>
      </c>
      <c r="T60" s="44" t="inlineStr">
        <is>
          <t>浙江省杭州市上城区秋涛路258号1号楼18层1802号</t>
        </is>
      </c>
      <c r="W60" s="44" t="inlineStr">
        <is>
          <t>正常</t>
        </is>
      </c>
      <c r="X60" s="44" t="inlineStr">
        <is>
          <t>BMGG-MAZ-HDTC-5500-23016</t>
        </is>
      </c>
    </row>
    <row r="61" hidden="1">
      <c r="A61" s="44" t="inlineStr">
        <is>
          <t>供应商</t>
        </is>
      </c>
      <c r="B61" s="44" t="inlineStr">
        <is>
          <t>中新互联互通（重庆）物流发展有限公司</t>
        </is>
      </c>
      <c r="C61" s="64" t="inlineStr">
        <is>
          <t>Supplier_060</t>
        </is>
      </c>
      <c r="D61" s="44" t="inlineStr">
        <is>
          <t>中新互联互通物流</t>
        </is>
      </c>
      <c r="E61" s="44" t="inlineStr">
        <is>
          <t>郭娜</t>
        </is>
      </c>
      <c r="H61" s="44" t="inlineStr">
        <is>
          <t>susan@ssccs.com.cn</t>
        </is>
      </c>
      <c r="K61" s="44" t="inlineStr">
        <is>
          <t>91500000MA5YNLEW0U</t>
        </is>
      </c>
      <c r="L61" s="44" t="inlineStr">
        <is>
          <t>6%</t>
        </is>
      </c>
      <c r="M61" s="44" t="inlineStr">
        <is>
          <t>中新互联互通（重庆）物流发展有限公司</t>
        </is>
      </c>
      <c r="N61" s="44" t="inlineStr">
        <is>
          <t>中国工商银行股份有限公司重庆两江分行</t>
        </is>
      </c>
      <c r="O61" s="44" t="inlineStr">
        <is>
          <t>中新互联互通（重庆）物流发展有限公司</t>
        </is>
      </c>
      <c r="P61" s="44" t="inlineStr">
        <is>
          <t>3100020209200156222</t>
        </is>
      </c>
      <c r="T61" s="44" t="inlineStr">
        <is>
          <t>重庆市江北区鱼嘴镇永和路39号2层208室</t>
        </is>
      </c>
      <c r="W61" s="44" t="inlineStr">
        <is>
          <t>正常</t>
        </is>
      </c>
      <c r="X61" s="44" t="inlineStr">
        <is>
          <t>SSCCS20230519001</t>
        </is>
      </c>
    </row>
    <row r="62" hidden="1">
      <c r="A62" s="44" t="inlineStr">
        <is>
          <t>供应商</t>
        </is>
      </c>
      <c r="B62" s="44" t="inlineStr">
        <is>
          <t>重庆恒昌玻璃钢有限公司</t>
        </is>
      </c>
      <c r="C62" s="64" t="inlineStr">
        <is>
          <t>Supplier_061</t>
        </is>
      </c>
      <c r="D62" s="44" t="inlineStr">
        <is>
          <t>恒昌玻璃钢</t>
        </is>
      </c>
      <c r="K62" s="44" t="inlineStr">
        <is>
          <t>91500104202986218W</t>
        </is>
      </c>
      <c r="L62" s="44" t="inlineStr">
        <is>
          <t>13%</t>
        </is>
      </c>
      <c r="M62" s="44" t="inlineStr">
        <is>
          <t>重庆恒昌玻璃钢有限公司</t>
        </is>
      </c>
      <c r="O62" s="44" t="inlineStr">
        <is>
          <t>重庆恒昌玻璃钢有限公司</t>
        </is>
      </c>
      <c r="T62" s="44" t="inlineStr">
        <is>
          <t>重庆市大渡口区八桥镇互助村七社33栋1层附1号</t>
        </is>
      </c>
      <c r="W62" s="44" t="inlineStr">
        <is>
          <t>正常</t>
        </is>
      </c>
      <c r="X62" s="44" t="inlineStr">
        <is>
          <t>BS-BMGG-2023008</t>
        </is>
      </c>
    </row>
    <row r="63" hidden="1">
      <c r="A63" s="44" t="inlineStr">
        <is>
          <t>供应商</t>
        </is>
      </c>
      <c r="B63" s="44" t="inlineStr">
        <is>
          <t>江西钰煌工程机械有限公司</t>
        </is>
      </c>
      <c r="C63" s="64" t="inlineStr">
        <is>
          <t>Supplier_062</t>
        </is>
      </c>
      <c r="D63" s="44" t="inlineStr">
        <is>
          <t>钰煌工程机械</t>
        </is>
      </c>
      <c r="E63" s="44" t="inlineStr">
        <is>
          <t>李泉</t>
        </is>
      </c>
      <c r="K63" s="44" t="inlineStr">
        <is>
          <t>91360121MA37U0HN9Y</t>
        </is>
      </c>
      <c r="L63" s="44" t="inlineStr">
        <is>
          <t>13%</t>
        </is>
      </c>
      <c r="M63" s="44" t="inlineStr">
        <is>
          <t>江西钰煌工程机械有限公司</t>
        </is>
      </c>
      <c r="N63" s="44" t="inlineStr">
        <is>
          <t>中国银行南昌市红谷滩支行营业部</t>
        </is>
      </c>
      <c r="O63" s="44" t="inlineStr">
        <is>
          <t>江西钰煌工程机械有限公司</t>
        </is>
      </c>
      <c r="P63" s="44" t="inlineStr">
        <is>
          <t>194741433738</t>
        </is>
      </c>
      <c r="T63" s="44" t="inlineStr">
        <is>
          <t>江西省南昌市南昌县小蓝经济技术开发区汽车大道72号江西省农机大市场3栋09号</t>
        </is>
      </c>
      <c r="U63" s="44" t="inlineStr">
        <is>
          <t>刘琳</t>
        </is>
      </c>
      <c r="W63" s="44" t="inlineStr">
        <is>
          <t>正常</t>
        </is>
      </c>
      <c r="X63" s="44" t="inlineStr">
        <is>
          <t>BS-BMGG-2022063</t>
        </is>
      </c>
    </row>
    <row r="64" hidden="1">
      <c r="A64" s="44" t="inlineStr">
        <is>
          <t>供应商</t>
        </is>
      </c>
      <c r="B64" s="44" t="inlineStr">
        <is>
          <t>江苏徐工电子商务股份有限公司</t>
        </is>
      </c>
      <c r="C64" s="64" t="inlineStr">
        <is>
          <t>Supplier_063</t>
        </is>
      </c>
      <c r="D64" s="44" t="inlineStr">
        <is>
          <t>徐工电子商务</t>
        </is>
      </c>
      <c r="F64" s="44" t="inlineStr">
        <is>
          <t>0516-87739198</t>
        </is>
      </c>
      <c r="G64" s="44" t="inlineStr">
        <is>
          <t>18523815300</t>
        </is>
      </c>
      <c r="K64" s="44" t="inlineStr">
        <is>
          <t>91320300MA1UTBL247</t>
        </is>
      </c>
      <c r="L64" s="44" t="inlineStr">
        <is>
          <t>13%</t>
        </is>
      </c>
      <c r="M64" s="44" t="inlineStr">
        <is>
          <t>江苏徐工电子商务股份有限公司</t>
        </is>
      </c>
      <c r="N64" s="44" t="inlineStr">
        <is>
          <t>江苏银行徐州科技支行</t>
        </is>
      </c>
      <c r="O64" s="44" t="inlineStr">
        <is>
          <t>江苏徐工电子商务股份有限公司</t>
        </is>
      </c>
      <c r="P64" s="44" t="inlineStr">
        <is>
          <t>60170188000116802</t>
        </is>
      </c>
      <c r="T64" s="44" t="inlineStr">
        <is>
          <t>江苏省徐州市泉山区软件园路6号徐州软件园1号楼C座505室</t>
        </is>
      </c>
      <c r="W64" s="44" t="inlineStr">
        <is>
          <t>正常</t>
        </is>
      </c>
      <c r="X64" s="44" t="inlineStr">
        <is>
          <t>BS-BMGG-2022067</t>
        </is>
      </c>
    </row>
    <row r="65" hidden="1">
      <c r="A65" s="44" t="inlineStr">
        <is>
          <t>供应商</t>
        </is>
      </c>
      <c r="B65" s="44" t="inlineStr">
        <is>
          <t>三一集团有限公司</t>
        </is>
      </c>
      <c r="C65" s="64" t="inlineStr">
        <is>
          <t>Supplier_064</t>
        </is>
      </c>
      <c r="D65" s="44" t="inlineStr">
        <is>
          <t>三一</t>
        </is>
      </c>
      <c r="F65" s="44" t="inlineStr">
        <is>
          <t>0731-84031888</t>
        </is>
      </c>
      <c r="K65" s="44" t="inlineStr">
        <is>
          <t>91430000722592271H</t>
        </is>
      </c>
      <c r="M65" s="44" t="inlineStr">
        <is>
          <t>三一集团有限公司</t>
        </is>
      </c>
      <c r="O65" s="44" t="inlineStr">
        <is>
          <t>三一集团有限公司</t>
        </is>
      </c>
      <c r="T65" s="44" t="inlineStr">
        <is>
          <t>湖南省长沙市经济技术开发区三一路三一工业城三一行政中心三楼</t>
        </is>
      </c>
      <c r="U65" s="44" t="inlineStr">
        <is>
          <t>唐修国</t>
        </is>
      </c>
      <c r="W65" s="44" t="inlineStr">
        <is>
          <t>正常</t>
        </is>
      </c>
    </row>
    <row r="66" hidden="1">
      <c r="A66" s="44" t="inlineStr">
        <is>
          <t>供应商</t>
        </is>
      </c>
      <c r="B66" s="44" t="inlineStr">
        <is>
          <t>重庆度地建筑设计有限公司</t>
        </is>
      </c>
      <c r="C66" s="64" t="inlineStr">
        <is>
          <t>Supplier_065</t>
        </is>
      </c>
      <c r="D66" s="44" t="inlineStr">
        <is>
          <t>度地建筑设计</t>
        </is>
      </c>
      <c r="K66" s="44" t="inlineStr">
        <is>
          <t>91500108MA5YQATM0Q</t>
        </is>
      </c>
      <c r="L66" s="44" t="inlineStr">
        <is>
          <t>13%</t>
        </is>
      </c>
      <c r="M66" s="44" t="inlineStr">
        <is>
          <t>重庆度地建筑设计有限公司</t>
        </is>
      </c>
      <c r="N66" s="44" t="inlineStr">
        <is>
          <t>中国农业银行股份有限公司重庆中华坊分行</t>
        </is>
      </c>
      <c r="O66" s="44" t="inlineStr">
        <is>
          <t>重庆度地建筑设计有限公司</t>
        </is>
      </c>
      <c r="P66" s="44" t="inlineStr">
        <is>
          <t>31011601040004600</t>
        </is>
      </c>
      <c r="T66" s="44" t="inlineStr">
        <is>
          <t>重庆市南岸区茶园新区香溪路1号附9号3-5</t>
        </is>
      </c>
      <c r="W66" s="44" t="inlineStr">
        <is>
          <t>正常</t>
        </is>
      </c>
      <c r="X66" s="44" t="inlineStr">
        <is>
          <t>BMGG-MAZ-24121</t>
        </is>
      </c>
    </row>
    <row r="67" hidden="1">
      <c r="A67" s="44" t="inlineStr">
        <is>
          <t>供应商</t>
        </is>
      </c>
      <c r="B67" s="44" t="inlineStr">
        <is>
          <t>淄博海慧工程设计咨询有限公司</t>
        </is>
      </c>
      <c r="C67" s="64" t="inlineStr">
        <is>
          <t>Supplier_066</t>
        </is>
      </c>
      <c r="D67" s="44" t="inlineStr">
        <is>
          <t>淄博海慧工程设计</t>
        </is>
      </c>
      <c r="K67" s="44" t="inlineStr">
        <is>
          <t>91370303MA3D1UN830</t>
        </is>
      </c>
      <c r="M67" s="44" t="inlineStr">
        <is>
          <t>淄博海慧工程设计咨询有限公司</t>
        </is>
      </c>
      <c r="O67" s="44" t="inlineStr">
        <is>
          <t>淄博海慧工程设计咨询有限公司</t>
        </is>
      </c>
      <c r="T67" s="44" t="inlineStr">
        <is>
          <t>山东省淄博市张店区柳泉路甲45号</t>
        </is>
      </c>
      <c r="W67" s="44" t="inlineStr">
        <is>
          <t>正常</t>
        </is>
      </c>
    </row>
    <row r="68" hidden="1">
      <c r="A68" s="44" t="inlineStr">
        <is>
          <t>供应商</t>
        </is>
      </c>
      <c r="B68" s="44" t="inlineStr">
        <is>
          <t>潍坊泉创重工科技有限公司</t>
        </is>
      </c>
      <c r="C68" s="64" t="inlineStr">
        <is>
          <t>Supplier_067</t>
        </is>
      </c>
      <c r="D68" s="44" t="inlineStr">
        <is>
          <t>潍坊泉创重工科技</t>
        </is>
      </c>
      <c r="F68" s="44" t="inlineStr">
        <is>
          <t>0536-3669388</t>
        </is>
      </c>
      <c r="G68" s="44" t="inlineStr">
        <is>
          <t>19805363388</t>
        </is>
      </c>
      <c r="K68" s="44" t="inlineStr">
        <is>
          <t>91370724MA3ML0KE9E</t>
        </is>
      </c>
      <c r="L68" s="44" t="inlineStr">
        <is>
          <t>13%</t>
        </is>
      </c>
      <c r="M68" s="44" t="inlineStr">
        <is>
          <t>潍坊泉创重工科技有限公司</t>
        </is>
      </c>
      <c r="N68" s="44" t="inlineStr">
        <is>
          <t>中国工商银行股份有限公司临朐支行</t>
        </is>
      </c>
      <c r="O68" s="44" t="inlineStr">
        <is>
          <t>潍坊泉创重工科技有限公司</t>
        </is>
      </c>
      <c r="T68" s="44" t="inlineStr">
        <is>
          <t>山东省潍坊市临朐县东城街道朐阳路一街5号</t>
        </is>
      </c>
      <c r="U68" s="44" t="inlineStr">
        <is>
          <t>刘万香</t>
        </is>
      </c>
      <c r="V68" s="44" t="inlineStr">
        <is>
          <t>刘存强</t>
        </is>
      </c>
      <c r="W68" s="44" t="inlineStr">
        <is>
          <t>正常</t>
        </is>
      </c>
      <c r="X68" s="44" t="inlineStr">
        <is>
          <t>BMGG-MAZ-25022</t>
        </is>
      </c>
    </row>
    <row r="69" hidden="1">
      <c r="A69" s="44" t="inlineStr">
        <is>
          <t>供应商</t>
        </is>
      </c>
      <c r="B69" s="44" t="inlineStr">
        <is>
          <t>贵州七冶国际工程有限公司</t>
        </is>
      </c>
      <c r="C69" s="64" t="inlineStr">
        <is>
          <t>Supplier_068</t>
        </is>
      </c>
      <c r="D69" s="44" t="inlineStr">
        <is>
          <t>七冶国际工程</t>
        </is>
      </c>
      <c r="K69" s="44" t="inlineStr">
        <is>
          <t>91520113MADFN3251B</t>
        </is>
      </c>
      <c r="L69" s="44" t="inlineStr">
        <is>
          <t>13%</t>
        </is>
      </c>
      <c r="M69" s="44" t="inlineStr">
        <is>
          <t>贵州七冶国际工程有限公司</t>
        </is>
      </c>
      <c r="O69" s="44" t="inlineStr">
        <is>
          <t>贵州七冶国际工程有限公司</t>
        </is>
      </c>
      <c r="T69" s="44" t="inlineStr">
        <is>
          <t>贵州省贵阳市白云区白云南路188号9层1号</t>
        </is>
      </c>
      <c r="W69" s="44" t="inlineStr">
        <is>
          <t>正常</t>
        </is>
      </c>
      <c r="X69" s="44" t="inlineStr">
        <is>
          <t>2026BS-YNDJL-056</t>
        </is>
      </c>
    </row>
    <row r="70" hidden="1">
      <c r="A70" s="44" t="inlineStr">
        <is>
          <t>供应商</t>
        </is>
      </c>
      <c r="B70" s="44" t="inlineStr">
        <is>
          <t>长兴县跃进磨料有限公司</t>
        </is>
      </c>
      <c r="C70" s="64" t="inlineStr">
        <is>
          <t>Supplier_069</t>
        </is>
      </c>
      <c r="D70" s="44" t="inlineStr">
        <is>
          <t>长兴县跃进磨料</t>
        </is>
      </c>
      <c r="K70" s="44" t="inlineStr">
        <is>
          <t>91330522704468760J</t>
        </is>
      </c>
      <c r="L70" s="44" t="inlineStr">
        <is>
          <t>13%</t>
        </is>
      </c>
      <c r="M70" s="44" t="inlineStr">
        <is>
          <t>长兴县跃进磨料有限公司</t>
        </is>
      </c>
      <c r="O70" s="44" t="inlineStr">
        <is>
          <t>长兴县跃进磨料有限公司</t>
        </is>
      </c>
      <c r="T70" s="44" t="inlineStr">
        <is>
          <t>浙江省湖州市长兴县夹浦镇陶家湾</t>
        </is>
      </c>
      <c r="W70" s="44" t="inlineStr">
        <is>
          <t>正常</t>
        </is>
      </c>
    </row>
    <row r="71" hidden="1">
      <c r="A71" s="44" t="inlineStr">
        <is>
          <t>供应商</t>
        </is>
      </c>
      <c r="B71" s="44" t="inlineStr">
        <is>
          <t>新加坡赛特国际投资有限公司</t>
        </is>
      </c>
      <c r="C71" s="64" t="inlineStr">
        <is>
          <t>Supplier_070</t>
        </is>
      </c>
      <c r="D71" s="44" t="inlineStr">
        <is>
          <t>新加坡赛特国际投</t>
        </is>
      </c>
      <c r="K71" s="44" t="inlineStr">
        <is>
          <t>境外企业</t>
        </is>
      </c>
      <c r="M71" s="44" t="inlineStr">
        <is>
          <t>新加坡赛特国际投资有限公司</t>
        </is>
      </c>
      <c r="O71" s="44" t="inlineStr">
        <is>
          <t>新加坡赛特国际投资有限公司</t>
        </is>
      </c>
      <c r="T71" s="44" t="inlineStr">
        <is>
          <t>新加坡 罗敏申路160号新加坡工商联合总会中心#19-06（邮编068914）</t>
        </is>
      </c>
      <c r="W71" s="44" t="inlineStr">
        <is>
          <t>正常</t>
        </is>
      </c>
    </row>
    <row r="72" hidden="1">
      <c r="A72" s="44" t="inlineStr">
        <is>
          <t>供应商</t>
        </is>
      </c>
      <c r="B72" s="44" t="inlineStr">
        <is>
          <t>震坤行工业超市（上海）有限公司</t>
        </is>
      </c>
      <c r="C72" s="64" t="inlineStr">
        <is>
          <t>Supplier_071</t>
        </is>
      </c>
      <c r="D72" s="44" t="inlineStr">
        <is>
          <t>震坤行</t>
        </is>
      </c>
      <c r="F72" s="44" t="inlineStr">
        <is>
          <t>021-80138057</t>
        </is>
      </c>
      <c r="G72" s="44" t="inlineStr">
        <is>
          <t>15223882873</t>
        </is>
      </c>
      <c r="K72" s="44" t="inlineStr">
        <is>
          <t>91310118632206381P</t>
        </is>
      </c>
      <c r="M72" s="44" t="inlineStr">
        <is>
          <t>震坤行工业超市（上海）有限公司</t>
        </is>
      </c>
      <c r="N72" s="44" t="inlineStr">
        <is>
          <t>中国银行上海市张江支行</t>
        </is>
      </c>
      <c r="O72" s="44" t="inlineStr">
        <is>
          <t>震坤行工业超市（上海）有限公司</t>
        </is>
      </c>
      <c r="P72" s="44" t="inlineStr">
        <is>
          <t>450766344103</t>
        </is>
      </c>
      <c r="T72" s="44" t="inlineStr">
        <is>
          <t>上海市青浦区练塘镇朱枫公路3424号2144室</t>
        </is>
      </c>
      <c r="W72" s="44" t="inlineStr">
        <is>
          <t>启用</t>
        </is>
      </c>
      <c r="X72" s="44" t="inlineStr">
        <is>
          <t>2022061517315400001A</t>
        </is>
      </c>
    </row>
    <row r="73" hidden="1">
      <c r="A73" s="44" t="inlineStr">
        <is>
          <t>供应商</t>
        </is>
      </c>
      <c r="B73" s="44" t="inlineStr">
        <is>
          <t>天津安华斯特消防工程有限公司</t>
        </is>
      </c>
      <c r="C73" s="64" t="inlineStr">
        <is>
          <t>Supplier_072</t>
        </is>
      </c>
      <c r="D73" s="44" t="inlineStr">
        <is>
          <t>安华斯特消防工程</t>
        </is>
      </c>
      <c r="K73" s="44" t="inlineStr">
        <is>
          <t>911201050698731689</t>
        </is>
      </c>
      <c r="M73" s="44" t="inlineStr">
        <is>
          <t>天津安华斯特消防工程有限公司</t>
        </is>
      </c>
      <c r="O73" s="44" t="inlineStr">
        <is>
          <t>天津安华斯特消防工程有限公司</t>
        </is>
      </c>
      <c r="T73" s="44" t="inlineStr">
        <is>
          <t>天津市河北区宁园街万柳村大街56号</t>
        </is>
      </c>
      <c r="W73" s="44" t="inlineStr">
        <is>
          <t>正常</t>
        </is>
      </c>
      <c r="X73" s="44" t="inlineStr">
        <is>
          <t>2022WB-1309</t>
        </is>
      </c>
    </row>
    <row r="74" hidden="1">
      <c r="A74" s="44" t="inlineStr">
        <is>
          <t>供应商</t>
        </is>
      </c>
      <c r="B74" s="44" t="inlineStr">
        <is>
          <t>张家港长寿工业设备制造有限公司</t>
        </is>
      </c>
      <c r="C74" s="64" t="inlineStr">
        <is>
          <t>Supplier_073</t>
        </is>
      </c>
      <c r="D74" s="44" t="inlineStr">
        <is>
          <t>张家港长寿工业设</t>
        </is>
      </c>
      <c r="E74" s="44" t="inlineStr">
        <is>
          <t>张林</t>
        </is>
      </c>
      <c r="F74" s="44" t="inlineStr">
        <is>
          <t>0512-58798728</t>
        </is>
      </c>
      <c r="G74" s="44" t="inlineStr">
        <is>
          <t>13390831833</t>
        </is>
      </c>
      <c r="H74" s="44" t="inlineStr">
        <is>
          <t>731753214@QQ.com</t>
        </is>
      </c>
      <c r="K74" s="44" t="inlineStr">
        <is>
          <t>913205826709726695</t>
        </is>
      </c>
      <c r="L74" s="44" t="inlineStr">
        <is>
          <t>13%</t>
        </is>
      </c>
      <c r="M74" s="44" t="inlineStr">
        <is>
          <t>张家港长寿工业设备制造有限公司</t>
        </is>
      </c>
      <c r="N74" s="44" t="inlineStr">
        <is>
          <t>中国工商银行张家港城北分行</t>
        </is>
      </c>
      <c r="O74" s="44" t="inlineStr">
        <is>
          <t>张家港长寿工业设备制造有限公司</t>
        </is>
      </c>
      <c r="T74" s="44" t="inlineStr">
        <is>
          <t>江苏省苏州市张家港经济技术开发区东黎路4号</t>
        </is>
      </c>
      <c r="U74" s="44" t="inlineStr">
        <is>
          <t>张明祥</t>
        </is>
      </c>
      <c r="W74" s="44" t="inlineStr">
        <is>
          <t>正常</t>
        </is>
      </c>
    </row>
    <row r="75" hidden="1">
      <c r="A75" s="44" t="inlineStr">
        <is>
          <t>供应商</t>
        </is>
      </c>
      <c r="B75" s="44" t="inlineStr">
        <is>
          <t>重庆徐渝工程机械有限公司</t>
        </is>
      </c>
      <c r="C75" s="64" t="inlineStr">
        <is>
          <t>Supplier_074</t>
        </is>
      </c>
      <c r="D75" s="44" t="inlineStr">
        <is>
          <t>徐渝工程机械</t>
        </is>
      </c>
      <c r="E75" s="44" t="inlineStr">
        <is>
          <t>蒋超</t>
        </is>
      </c>
      <c r="F75" s="44" t="inlineStr">
        <is>
          <t>023-68649958</t>
        </is>
      </c>
      <c r="G75" s="44" t="inlineStr">
        <is>
          <t>15923054693</t>
        </is>
      </c>
      <c r="H75" s="44" t="inlineStr">
        <is>
          <t>844834111@qq.com</t>
        </is>
      </c>
      <c r="K75" s="44" t="inlineStr">
        <is>
          <t>91500107077285366A</t>
        </is>
      </c>
      <c r="L75" s="44" t="inlineStr">
        <is>
          <t>13%</t>
        </is>
      </c>
      <c r="M75" s="44" t="inlineStr">
        <is>
          <t>重庆徐渝工程机械有限公司</t>
        </is>
      </c>
      <c r="N75" s="44" t="inlineStr">
        <is>
          <t>建行重庆九龙坡九龙园支行</t>
        </is>
      </c>
      <c r="O75" s="44" t="inlineStr">
        <is>
          <t>重庆徐渝工程机械有限公司</t>
        </is>
      </c>
      <c r="P75" s="44" t="inlineStr">
        <is>
          <t>50001030041052507798</t>
        </is>
      </c>
      <c r="T75" s="44" t="inlineStr">
        <is>
          <t>重庆市九龙坡区九龙园区C区九龙园大道38号办公楼一楼</t>
        </is>
      </c>
      <c r="U75" s="44" t="inlineStr">
        <is>
          <t>蒋超</t>
        </is>
      </c>
      <c r="V75" s="44" t="inlineStr">
        <is>
          <t>蒋超</t>
        </is>
      </c>
      <c r="W75" s="44" t="inlineStr">
        <is>
          <t>正常</t>
        </is>
      </c>
      <c r="X75" s="44" t="inlineStr">
        <is>
          <t>BMGG-MAZ-XUGONG-24099</t>
        </is>
      </c>
    </row>
    <row r="76" hidden="1">
      <c r="A76" s="44" t="inlineStr">
        <is>
          <t>供应商</t>
        </is>
      </c>
      <c r="B76" s="44" t="inlineStr">
        <is>
          <t>昆明茨坝矿山机械有限公司</t>
        </is>
      </c>
      <c r="C76" s="64" t="inlineStr">
        <is>
          <t>Supplier_075</t>
        </is>
      </c>
      <c r="D76" s="44" t="inlineStr">
        <is>
          <t>昆明茨坝矿山机械</t>
        </is>
      </c>
      <c r="E76" s="44" t="inlineStr">
        <is>
          <t>张云波</t>
        </is>
      </c>
      <c r="G76" s="44" t="inlineStr">
        <is>
          <t>13888772631</t>
        </is>
      </c>
      <c r="H76" s="44" t="inlineStr">
        <is>
          <t>1254385286@qq.com</t>
        </is>
      </c>
      <c r="K76" s="44" t="inlineStr">
        <is>
          <t>91530103216711354K</t>
        </is>
      </c>
      <c r="L76" s="44" t="inlineStr">
        <is>
          <t>13%</t>
        </is>
      </c>
      <c r="M76" s="44" t="inlineStr">
        <is>
          <t>昆明茨坝矿山机械有限公司</t>
        </is>
      </c>
      <c r="N76" s="44" t="inlineStr">
        <is>
          <t>昆明市盘龙区茨坝农村信用社</t>
        </is>
      </c>
      <c r="O76" s="44" t="inlineStr">
        <is>
          <t>昆明茨坝矿山机械有限公司</t>
        </is>
      </c>
      <c r="T76" s="44" t="inlineStr">
        <is>
          <t>云南省昆明市盘龙区茨坝花渔沟村398号</t>
        </is>
      </c>
      <c r="U76" s="44" t="inlineStr">
        <is>
          <t>张慰平</t>
        </is>
      </c>
      <c r="W76" s="44" t="inlineStr">
        <is>
          <t>正常</t>
        </is>
      </c>
      <c r="X76" s="44" t="inlineStr">
        <is>
          <t>BMGG-MAZ-25067</t>
        </is>
      </c>
    </row>
    <row r="77" hidden="1">
      <c r="A77" s="44" t="inlineStr">
        <is>
          <t>供应商</t>
        </is>
      </c>
      <c r="B77" s="44" t="inlineStr">
        <is>
          <t>宜兴超燕耐火光电有限公司</t>
        </is>
      </c>
      <c r="C77" s="64" t="inlineStr">
        <is>
          <t>Supplier_076</t>
        </is>
      </c>
      <c r="D77" s="44" t="inlineStr">
        <is>
          <t>宜兴超燕耐火光电</t>
        </is>
      </c>
      <c r="K77" s="44" t="inlineStr">
        <is>
          <t>9132028279334921XM</t>
        </is>
      </c>
      <c r="M77" s="44" t="inlineStr">
        <is>
          <t>宜兴超燕耐火光电有限公司</t>
        </is>
      </c>
      <c r="O77" s="44" t="inlineStr">
        <is>
          <t>宜兴超燕耐火光电有限公司</t>
        </is>
      </c>
      <c r="T77" s="44" t="inlineStr">
        <is>
          <t>江苏省无锡市宜兴市丁蜀镇张泽村</t>
        </is>
      </c>
      <c r="W77" s="44" t="inlineStr">
        <is>
          <t>正常</t>
        </is>
      </c>
    </row>
    <row r="78" hidden="1">
      <c r="A78" s="44" t="inlineStr">
        <is>
          <t>供应商</t>
        </is>
      </c>
      <c r="B78" s="44" t="inlineStr">
        <is>
          <t>中交疏浚美洲区域公司圭亚那分公司</t>
        </is>
      </c>
      <c r="C78" s="64" t="inlineStr">
        <is>
          <t>Supplier_077</t>
        </is>
      </c>
      <c r="D78" s="44" t="inlineStr">
        <is>
          <t>中交疏浚美洲区域</t>
        </is>
      </c>
      <c r="K78" s="44" t="inlineStr">
        <is>
          <t>境外企业</t>
        </is>
      </c>
      <c r="M78" s="44" t="inlineStr">
        <is>
          <t>中交疏浚美洲区域公司圭亚那分公司</t>
        </is>
      </c>
      <c r="O78" s="44" t="inlineStr">
        <is>
          <t>中交疏浚美洲区域公司圭亚那分公司</t>
        </is>
      </c>
      <c r="T78" s="44" t="inlineStr">
        <is>
          <t>圭亚那（隶属中交疏浚（集团）股份有限公司美洲区域公司）</t>
        </is>
      </c>
      <c r="W78" s="44" t="inlineStr">
        <is>
          <t>正常</t>
        </is>
      </c>
    </row>
    <row r="79" hidden="1">
      <c r="A79" s="44" t="inlineStr">
        <is>
          <t>供应商</t>
        </is>
      </c>
      <c r="B79" s="44" t="inlineStr">
        <is>
          <t>江苏鹏飞集团股份有限公司</t>
        </is>
      </c>
      <c r="C79" s="64" t="inlineStr">
        <is>
          <t>Supplier_078</t>
        </is>
      </c>
      <c r="D79" s="44" t="inlineStr">
        <is>
          <t>鹏飞集团</t>
        </is>
      </c>
      <c r="F79" s="44" t="inlineStr">
        <is>
          <t>0513-88755315</t>
        </is>
      </c>
      <c r="G79" s="44" t="inlineStr">
        <is>
          <t>13906278804</t>
        </is>
      </c>
      <c r="K79" s="44" t="inlineStr">
        <is>
          <t>913200007406524508</t>
        </is>
      </c>
      <c r="L79" s="44" t="inlineStr">
        <is>
          <t>13%</t>
        </is>
      </c>
      <c r="M79" s="44" t="inlineStr">
        <is>
          <t>江苏鹏飞集团股份有限公司</t>
        </is>
      </c>
      <c r="N79" s="44" t="inlineStr">
        <is>
          <t>中国银行海安支行</t>
        </is>
      </c>
      <c r="O79" s="44" t="inlineStr">
        <is>
          <t>江苏鹏飞集团股份有限公司</t>
        </is>
      </c>
      <c r="T79" s="44" t="inlineStr">
        <is>
          <t>江苏省南通市海安市北郊贲家集</t>
        </is>
      </c>
      <c r="U79" s="44" t="inlineStr">
        <is>
          <t>王家安</t>
        </is>
      </c>
      <c r="W79" s="44" t="inlineStr">
        <is>
          <t>正常</t>
        </is>
      </c>
      <c r="X79" s="44" t="inlineStr">
        <is>
          <t>BMGG2018-15KILN</t>
        </is>
      </c>
    </row>
    <row r="80" hidden="1">
      <c r="A80" s="44" t="inlineStr">
        <is>
          <t>客户</t>
        </is>
      </c>
      <c r="B80" s="44" t="inlineStr">
        <is>
          <t>天津博东物流发展有限公司</t>
        </is>
      </c>
      <c r="C80" s="44" t="inlineStr">
        <is>
          <t>Client_001</t>
        </is>
      </c>
      <c r="D80" s="44" t="inlineStr">
        <is>
          <t>博东物流发展</t>
        </is>
      </c>
      <c r="K80" s="44" t="inlineStr">
        <is>
          <t>91120116732800628H</t>
        </is>
      </c>
      <c r="M80" s="44" t="inlineStr">
        <is>
          <t>天津博东物流发展有限公司</t>
        </is>
      </c>
      <c r="O80" s="44" t="inlineStr">
        <is>
          <t>天津博东物流发展有限公司</t>
        </is>
      </c>
      <c r="T80" s="44" t="inlineStr">
        <is>
          <t>天津自贸试验区（空港经济区）环河南路88号标准厂房2-3342号</t>
        </is>
      </c>
      <c r="W80" s="44" t="inlineStr">
        <is>
          <t>正常</t>
        </is>
      </c>
      <c r="X80" s="44" t="inlineStr">
        <is>
          <t>BDWL0713</t>
        </is>
      </c>
    </row>
    <row r="81" hidden="1">
      <c r="A81" s="44" t="inlineStr">
        <is>
          <t>客户</t>
        </is>
      </c>
      <c r="B81" s="44" t="inlineStr">
        <is>
          <t>江苏国豪耐火科技有限公司</t>
        </is>
      </c>
      <c r="C81" s="44" t="inlineStr">
        <is>
          <t>Client_002</t>
        </is>
      </c>
      <c r="D81" s="44" t="inlineStr">
        <is>
          <t>国豪耐火科技</t>
        </is>
      </c>
      <c r="K81" s="44" t="inlineStr">
        <is>
          <t>91320282550281951U</t>
        </is>
      </c>
      <c r="L81" s="44" t="inlineStr">
        <is>
          <t>13%</t>
        </is>
      </c>
      <c r="M81" s="44" t="inlineStr">
        <is>
          <t>江苏国豪耐火科技有限公司</t>
        </is>
      </c>
      <c r="O81" s="44" t="inlineStr">
        <is>
          <t>江苏国豪耐火科技有限公司</t>
        </is>
      </c>
      <c r="T81" s="44" t="inlineStr">
        <is>
          <t>江苏省无锡市宜兴市丁蜀镇施荡村</t>
        </is>
      </c>
      <c r="W81" s="44" t="inlineStr">
        <is>
          <t>正常</t>
        </is>
      </c>
      <c r="X81" s="44" t="inlineStr">
        <is>
          <t>BSRASC-2021024</t>
        </is>
      </c>
    </row>
    <row r="82" hidden="1">
      <c r="A82" s="44" t="inlineStr">
        <is>
          <t>客户</t>
        </is>
      </c>
      <c r="B82" s="44" t="inlineStr">
        <is>
          <t>浙江自立新材料股份有限公司</t>
        </is>
      </c>
      <c r="C82" s="44" t="inlineStr">
        <is>
          <t>Client_003</t>
        </is>
      </c>
      <c r="D82" s="44" t="inlineStr">
        <is>
          <t>自立新材料</t>
        </is>
      </c>
      <c r="F82" s="44" t="inlineStr">
        <is>
          <t>0575-82721601</t>
        </is>
      </c>
      <c r="K82" s="44" t="inlineStr">
        <is>
          <t>91330604087394232P</t>
        </is>
      </c>
      <c r="L82" s="44" t="inlineStr">
        <is>
          <t>13%</t>
        </is>
      </c>
      <c r="M82" s="44" t="inlineStr">
        <is>
          <t>浙江自立新材料股份有限公司</t>
        </is>
      </c>
      <c r="N82" s="44" t="inlineStr">
        <is>
          <t>上海浦东发展银行绍兴上虞支行</t>
        </is>
      </c>
      <c r="O82" s="44" t="inlineStr">
        <is>
          <t>浙江自立新材料股份有限公司</t>
        </is>
      </c>
      <c r="P82" s="44" t="inlineStr">
        <is>
          <t>85070154740013577</t>
        </is>
      </c>
      <c r="T82" s="44" t="inlineStr">
        <is>
          <t>浙江省绍兴市上虞区杭州湾上虞经济技术开发区</t>
        </is>
      </c>
      <c r="V82" s="44" t="inlineStr">
        <is>
          <t>陈维东</t>
        </is>
      </c>
      <c r="W82" s="44" t="inlineStr">
        <is>
          <t>正常</t>
        </is>
      </c>
      <c r="X82" s="44" t="inlineStr">
        <is>
          <t>BSRASC--2021027</t>
        </is>
      </c>
    </row>
    <row r="83" hidden="1">
      <c r="A83" s="44" t="inlineStr">
        <is>
          <t>客户</t>
        </is>
      </c>
      <c r="B83" s="44" t="inlineStr">
        <is>
          <t>宁波海田国际货运有限公司</t>
        </is>
      </c>
      <c r="C83" s="44" t="inlineStr">
        <is>
          <t>Client_004</t>
        </is>
      </c>
      <c r="D83" s="44" t="inlineStr">
        <is>
          <t>宁波海田国际货运</t>
        </is>
      </c>
      <c r="K83" s="44" t="inlineStr">
        <is>
          <t>913302057281162414</t>
        </is>
      </c>
      <c r="L83" s="44" t="inlineStr">
        <is>
          <t>13%</t>
        </is>
      </c>
      <c r="M83" s="44" t="inlineStr">
        <is>
          <t>宁波海田国际货运有限公司</t>
        </is>
      </c>
      <c r="N83" s="44" t="inlineStr">
        <is>
          <t>上海浦东发展银行宁波市分行</t>
        </is>
      </c>
      <c r="O83" s="44" t="inlineStr">
        <is>
          <t>宁波海田国际货运有限公司</t>
        </is>
      </c>
      <c r="P83" s="44" t="inlineStr">
        <is>
          <t>94010155350001343</t>
        </is>
      </c>
      <c r="T83" s="44" t="inlineStr">
        <is>
          <t>浙江省宁波市鄞州区宝华街77号（8-2）</t>
        </is>
      </c>
      <c r="W83" s="44" t="inlineStr">
        <is>
          <t>正常</t>
        </is>
      </c>
    </row>
    <row r="84">
      <c r="A84" s="44" t="inlineStr">
        <is>
          <t>供应商</t>
        </is>
      </c>
      <c r="B84" s="44" t="inlineStr">
        <is>
          <t>山东胜诚钢结构销售有限公司</t>
        </is>
      </c>
      <c r="C84" s="44" t="inlineStr">
        <is>
          <t>Supplier_079</t>
        </is>
      </c>
      <c r="D84" s="44" t="inlineStr">
        <is>
          <t>胜诚钢结构</t>
        </is>
      </c>
      <c r="E84" s="44" t="inlineStr">
        <is>
          <t>王世峰</t>
        </is>
      </c>
      <c r="F84" s="44" t="n">
        <v>15854301966</v>
      </c>
      <c r="G84" s="44" t="n">
        <v>15854301966</v>
      </c>
      <c r="H84" s="44" t="inlineStr">
        <is>
          <t>zpynwz@163.com</t>
        </is>
      </c>
      <c r="I84" s="44" t="inlineStr">
        <is>
          <t>吴柱臻</t>
        </is>
      </c>
      <c r="K84" s="44" t="inlineStr">
        <is>
          <t>91371626MA3NDBGA86</t>
        </is>
      </c>
      <c r="L84" s="44" t="n">
        <v>0.13</v>
      </c>
      <c r="M84" s="44" t="inlineStr">
        <is>
          <t>山东胜诚钢结构销售有限公司</t>
        </is>
      </c>
      <c r="N84" s="44" t="inlineStr">
        <is>
          <t>山东邹平农村商业银行股份有限公司</t>
        </is>
      </c>
      <c r="O84" s="44" t="inlineStr">
        <is>
          <t>山东胜诚钢结构销售有限公司</t>
        </is>
      </c>
      <c r="P84" s="72" t="inlineStr">
        <is>
          <t>2660044614205000011884</t>
        </is>
      </c>
      <c r="Q84" s="44" t="inlineStr">
        <is>
          <t>山东邹平农村商业银行股份有限公司韩店支行</t>
        </is>
      </c>
      <c r="R84" s="44" t="n">
        <v>15854301966</v>
      </c>
      <c r="S84" s="44" t="inlineStr">
        <is>
          <t>山东省邹平市韩店镇东白村东北</t>
        </is>
      </c>
      <c r="T84" s="44" t="inlineStr">
        <is>
          <t>山东省邹平市韩店镇东白村东北</t>
        </is>
      </c>
      <c r="U84" s="44" t="inlineStr">
        <is>
          <t>王世峰</t>
        </is>
      </c>
      <c r="V84" s="44" t="inlineStr">
        <is>
          <t>王世峰</t>
        </is>
      </c>
      <c r="W84" s="44" t="inlineStr">
        <is>
          <t>启用</t>
        </is>
      </c>
    </row>
    <row r="85" hidden="1">
      <c r="A85" s="44" t="inlineStr">
        <is>
          <t>供应商</t>
        </is>
      </c>
      <c r="B85" s="44" t="inlineStr">
        <is>
          <t>泊头市鑫龙除尘设备有限公司</t>
        </is>
      </c>
      <c r="C85" s="44" t="inlineStr">
        <is>
          <t>Supplier_080</t>
        </is>
      </c>
      <c r="D85" s="44" t="inlineStr">
        <is>
          <t>泊头鑫龙</t>
        </is>
      </c>
      <c r="E85" s="44" t="inlineStr">
        <is>
          <t>李鑫</t>
        </is>
      </c>
      <c r="F85" s="44" t="n">
        <v>13633275616</v>
      </c>
      <c r="G85" s="44" t="n">
        <v>13633275616</v>
      </c>
      <c r="J85" s="44" t="inlineStr">
        <is>
          <t>除尘设备/材料成品件供应商</t>
        </is>
      </c>
      <c r="K85" s="44" t="inlineStr">
        <is>
          <t>91130981601245935P</t>
        </is>
      </c>
      <c r="L85" s="44" t="n">
        <v>0.13</v>
      </c>
      <c r="M85" s="44" t="inlineStr">
        <is>
          <t>泊头市鑫龙除尘设备有限公司</t>
        </is>
      </c>
      <c r="N85" s="44" t="inlineStr">
        <is>
          <t>中国工商银行股份有限公司泊头支行</t>
        </is>
      </c>
      <c r="O85" s="44" t="inlineStr">
        <is>
          <t>泊头市鑫龙除尘设备有限公司</t>
        </is>
      </c>
      <c r="P85" s="72" t="inlineStr">
        <is>
          <t>0408020009249021729</t>
        </is>
      </c>
      <c r="Q85" s="44" t="inlineStr">
        <is>
          <t>中国工商银行股份有限公司泊头支行</t>
        </is>
      </c>
      <c r="R85" s="44" t="n">
        <v>13633275616</v>
      </c>
      <c r="S85" s="44" t="inlineStr">
        <is>
          <t>河北省泊头市泊南路188号</t>
        </is>
      </c>
      <c r="T85" s="44" t="inlineStr">
        <is>
          <t>河北省泊头市泊南路188号</t>
        </is>
      </c>
      <c r="U85" s="44" t="inlineStr">
        <is>
          <t>李树才</t>
        </is>
      </c>
      <c r="V85" s="44" t="inlineStr">
        <is>
          <t>未提供</t>
        </is>
      </c>
      <c r="W85" s="44" t="inlineStr">
        <is>
          <t>启用</t>
        </is>
      </c>
    </row>
    <row r="86" hidden="1">
      <c r="A86" s="44" t="inlineStr">
        <is>
          <t>供应商</t>
        </is>
      </c>
      <c r="B86" s="44" t="inlineStr">
        <is>
          <t>重庆鑫方盛电子商务有限公司</t>
        </is>
      </c>
      <c r="C86" s="44" t="inlineStr">
        <is>
          <t>Supplier_081</t>
        </is>
      </c>
      <c r="D86" s="44" t="inlineStr">
        <is>
          <t>鑫方盛</t>
        </is>
      </c>
      <c r="E86" s="44" t="inlineStr">
        <is>
          <t>张华磊</t>
        </is>
      </c>
      <c r="F86" s="44" t="n">
        <v>18875204261</v>
      </c>
      <c r="G86" s="44" t="n">
        <v>18875204261</v>
      </c>
      <c r="H86" s="44" t="inlineStr">
        <is>
          <t>715086875@qq.com</t>
        </is>
      </c>
      <c r="J86" s="44" t="inlineStr">
        <is>
          <t>建筑材料（含辅材）、五金机电、工业品等</t>
        </is>
      </c>
      <c r="K86" s="44" t="inlineStr">
        <is>
          <t>91500107663561511M</t>
        </is>
      </c>
      <c r="M86" s="44" t="inlineStr">
        <is>
          <t>重庆鑫方盛电子商务有限公司</t>
        </is>
      </c>
      <c r="N86" s="44" t="inlineStr">
        <is>
          <t>交通银行股份有限公司九龙园支行</t>
        </is>
      </c>
      <c r="O86" s="44" t="inlineStr">
        <is>
          <t>重庆鑫方盛电子商务有限公司</t>
        </is>
      </c>
      <c r="P86" s="72" t="inlineStr">
        <is>
          <t>500113091018010014432</t>
        </is>
      </c>
      <c r="Q86" s="44" t="inlineStr">
        <is>
          <t>交通银行股份有限公司九龙园支行</t>
        </is>
      </c>
      <c r="R86" s="44" t="n">
        <v>18875204261</v>
      </c>
      <c r="S86" s="44" t="inlineStr">
        <is>
          <t>重庆市九龙坡区西彭镇森迪大道141号</t>
        </is>
      </c>
      <c r="T86" s="44" t="inlineStr">
        <is>
          <t>重庆市九龙坡区西彭镇森迪大道141号</t>
        </is>
      </c>
      <c r="U86" s="44" t="inlineStr">
        <is>
          <t>张晓贝</t>
        </is>
      </c>
      <c r="V86" s="44" t="inlineStr">
        <is>
          <t>张华磊</t>
        </is>
      </c>
      <c r="W86" s="44" t="inlineStr">
        <is>
          <t>启用</t>
        </is>
      </c>
      <c r="X86" s="44" t="inlineStr">
        <is>
          <t>战略合作供应商；合同编号未有效填写；签订日期2026.01.01；期限2026.1.1-2026.12.31</t>
        </is>
      </c>
    </row>
    <row r="87" hidden="1">
      <c r="A87" s="44" t="inlineStr">
        <is>
          <t>供应商</t>
        </is>
      </c>
      <c r="B87" s="44" t="inlineStr">
        <is>
          <t>西域智慧供应链(上海)股份公司</t>
        </is>
      </c>
      <c r="C87" s="44" t="inlineStr">
        <is>
          <t>Supplier_082</t>
        </is>
      </c>
      <c r="D87" s="44" t="inlineStr">
        <is>
          <t>西域</t>
        </is>
      </c>
      <c r="E87" s="44" t="inlineStr">
        <is>
          <t>王新征</t>
        </is>
      </c>
      <c r="F87" s="44" t="inlineStr">
        <is>
          <t>021-68828866</t>
        </is>
      </c>
      <c r="G87" s="44" t="n">
        <v>17828076673</v>
      </c>
      <c r="H87" s="44" t="inlineStr">
        <is>
          <t>sean_wangl@ehsy.com</t>
        </is>
      </c>
      <c r="J87" s="44" t="inlineStr">
        <is>
          <t>建筑材料（含辅材）、五金机电、工业品等</t>
        </is>
      </c>
      <c r="K87" s="44" t="inlineStr">
        <is>
          <t>91310000734574775Q</t>
        </is>
      </c>
      <c r="L87" s="67" t="n">
        <v>0.13</v>
      </c>
      <c r="M87" s="44" t="inlineStr">
        <is>
          <t>西域智慧供应链（上海）股份公司</t>
        </is>
      </c>
      <c r="N87" s="44" t="inlineStr">
        <is>
          <t>招商银行上海张江支行</t>
        </is>
      </c>
      <c r="O87" s="44" t="inlineStr">
        <is>
          <t>西域智慧供应链（上海）股份公司</t>
        </is>
      </c>
      <c r="P87" s="72" t="inlineStr">
        <is>
          <t>121904862910806</t>
        </is>
      </c>
      <c r="Q87" s="44" t="inlineStr">
        <is>
          <t>招商银行上海张江支行</t>
        </is>
      </c>
      <c r="R87" s="44" t="inlineStr">
        <is>
          <t>021-68828866</t>
        </is>
      </c>
      <c r="S87" s="44" t="inlineStr">
        <is>
          <t>中国（上海）自由贸易试验区中科路1819号第16层</t>
        </is>
      </c>
      <c r="T87" s="44" t="inlineStr">
        <is>
          <t>中国（上海）自由贸易试验区中科路1819号第16层</t>
        </is>
      </c>
      <c r="U87" s="44" t="inlineStr">
        <is>
          <t>叶永清</t>
        </is>
      </c>
      <c r="V87" s="44" t="inlineStr">
        <is>
          <t>邹正</t>
        </is>
      </c>
      <c r="W87" s="44" t="inlineStr">
        <is>
          <t>启用</t>
        </is>
      </c>
      <c r="X87" s="44" t="inlineStr">
        <is>
          <t>战略合作供应商；合同编号GX2026-05001；签订日期2026.05.31；期限2026.5.31-2027.5.31；框架折扣率A 86%/B 87%/C 88%；年度预计协议采购额2000万~3000万；结算：发票后60天电汇50%+半年期银行承兑50%；税率13%；重庆业务专员2人、四川1人</t>
        </is>
      </c>
    </row>
    <row r="88" hidden="1">
      <c r="A88" s="44" t="inlineStr">
        <is>
          <t>供应商</t>
        </is>
      </c>
      <c r="B88" s="44" t="inlineStr">
        <is>
          <t>内蒙古精创电气有限公司</t>
        </is>
      </c>
      <c r="C88" s="44" t="inlineStr">
        <is>
          <t>Supplier_083</t>
        </is>
      </c>
      <c r="D88" s="44" t="inlineStr">
        <is>
          <t>内蒙古精创电气有限公司</t>
        </is>
      </c>
      <c r="E88" s="44" t="inlineStr">
        <is>
          <t>陈泽</t>
        </is>
      </c>
      <c r="F88" s="44" t="n">
        <v>13819763682</v>
      </c>
      <c r="G88" s="44" t="n">
        <v>13819763682</v>
      </c>
      <c r="H88" s="44" t="inlineStr">
        <is>
          <t>330198873@qq.com</t>
        </is>
      </c>
      <c r="I88" s="44" t="inlineStr">
        <is>
          <t>吴柱臻</t>
        </is>
      </c>
      <c r="J88" s="44" t="inlineStr">
        <is>
          <t>贸易商</t>
        </is>
      </c>
      <c r="K88" s="44" t="inlineStr">
        <is>
          <t>91150981MA13PTJF0C</t>
        </is>
      </c>
      <c r="L88" s="67" t="n">
        <v>0.13</v>
      </c>
      <c r="M88" s="44" t="inlineStr">
        <is>
          <t>内蒙古精创电气有限公司</t>
        </is>
      </c>
      <c r="N88" s="44" t="inlineStr">
        <is>
          <t>中国银行股份有限公司</t>
        </is>
      </c>
      <c r="O88" s="44" t="inlineStr">
        <is>
          <t>内蒙古精创电气有限公司</t>
        </is>
      </c>
      <c r="P88" s="72" t="inlineStr">
        <is>
          <t>149266012411</t>
        </is>
      </c>
      <c r="Q88" s="44" t="inlineStr">
        <is>
          <t xml:space="preserve">中国银行股份有限公司丰镇支行营业部
</t>
        </is>
      </c>
      <c r="R88" s="44" t="n">
        <v>13819763682</v>
      </c>
      <c r="S88" s="44" t="inlineStr">
        <is>
          <t>内蒙古自治区乌兰察布市丰镇市旧城区西巨墙街南栅原物资局院</t>
        </is>
      </c>
      <c r="T88" s="44" t="inlineStr">
        <is>
          <t>浙江省温州市乐清市柳市镇前垟洞村前垟环路河边变压器旁东边两间</t>
        </is>
      </c>
      <c r="U88" s="44" t="inlineStr">
        <is>
          <t>陈福余</t>
        </is>
      </c>
      <c r="V88" s="44" t="inlineStr">
        <is>
          <t>陈泽</t>
        </is>
      </c>
      <c r="W88" s="44" t="inlineStr">
        <is>
          <t>启用</t>
        </is>
      </c>
    </row>
    <row r="89" hidden="1">
      <c r="A89" s="44" t="inlineStr">
        <is>
          <t>供应商</t>
        </is>
      </c>
      <c r="B89" s="44" t="inlineStr">
        <is>
          <t>昆明茨坝矿山机械有限公司</t>
        </is>
      </c>
      <c r="C89" s="44" t="inlineStr">
        <is>
          <t>Supplier_084</t>
        </is>
      </c>
      <c r="D89" s="44" t="inlineStr">
        <is>
          <t>昆明茨坝矿机</t>
        </is>
      </c>
      <c r="E89" s="44" t="inlineStr">
        <is>
          <t>张</t>
        </is>
      </c>
      <c r="I89" s="44" t="inlineStr">
        <is>
          <t>吴柱臻</t>
        </is>
      </c>
      <c r="J89" s="44" t="inlineStr">
        <is>
          <t>设备制造商</t>
        </is>
      </c>
      <c r="K89" s="44" t="inlineStr">
        <is>
          <t>91530103216711354K</t>
        </is>
      </c>
      <c r="L89" s="67" t="n">
        <v>0.13</v>
      </c>
      <c r="M89" s="44" t="inlineStr">
        <is>
          <t>昆明茨坝矿山机械有限公司</t>
        </is>
      </c>
      <c r="O89" s="44" t="inlineStr">
        <is>
          <t>昆明茨坝矿山机械有限公司</t>
        </is>
      </c>
      <c r="T89" s="44" t="inlineStr">
        <is>
          <t>明市盘龙区茨坝</t>
        </is>
      </c>
      <c r="W89" s="44" t="inlineStr">
        <is>
          <t>启用</t>
        </is>
      </c>
    </row>
    <row r="90">
      <c r="A90" s="44" t="inlineStr">
        <is>
          <t>供应商</t>
        </is>
      </c>
      <c r="B90" s="44" t="inlineStr">
        <is>
          <t>山东星工液压科技有限公司</t>
        </is>
      </c>
      <c r="C90" s="44" t="inlineStr">
        <is>
          <t>Supplier_085</t>
        </is>
      </c>
      <c r="D90" s="44" t="inlineStr">
        <is>
          <t>星工液压</t>
        </is>
      </c>
      <c r="E90" s="44" t="inlineStr">
        <is>
          <t>崔玉超</t>
        </is>
      </c>
      <c r="F90" s="44" t="n">
        <v>13853478013</v>
      </c>
      <c r="G90" s="44" t="n">
        <v>13853478013</v>
      </c>
      <c r="I90" s="44" t="inlineStr">
        <is>
          <t>吴柱臻</t>
        </is>
      </c>
      <c r="J90" s="44" t="inlineStr">
        <is>
          <t>制造商</t>
        </is>
      </c>
      <c r="K90" s="44" t="inlineStr">
        <is>
          <t>91371402MA3RMA7E33</t>
        </is>
      </c>
      <c r="L90" s="67" t="n">
        <v>0.13</v>
      </c>
      <c r="M90" s="44" t="inlineStr">
        <is>
          <t>压链机</t>
        </is>
      </c>
      <c r="N90" s="44" t="inlineStr">
        <is>
          <t>德州银行</t>
        </is>
      </c>
      <c r="O90" s="44" t="inlineStr">
        <is>
          <t>山东星工液压科技有限公司</t>
        </is>
      </c>
      <c r="P90" s="72" t="inlineStr">
        <is>
          <t>80901080101421015717</t>
        </is>
      </c>
      <c r="Q90" s="44" t="inlineStr">
        <is>
          <t>德州银行股份有限公司向阳支行。</t>
        </is>
      </c>
      <c r="R90" s="44" t="n">
        <v>13853478013</v>
      </c>
      <c r="S90" s="44" t="inlineStr">
        <is>
          <t>山东省德州市德城区黄河涯镇闫屯村北500米北2-2车间</t>
        </is>
      </c>
      <c r="T90" s="44" t="inlineStr">
        <is>
          <t>山东省德州市德城区黄河涯镇闫屯村北500米北2-2车间</t>
        </is>
      </c>
      <c r="U90" s="44" t="inlineStr">
        <is>
          <t>崔玉超</t>
        </is>
      </c>
      <c r="V90" s="44" t="inlineStr">
        <is>
          <t>崔玉超</t>
        </is>
      </c>
      <c r="W90" s="44" t="inlineStr">
        <is>
          <t>启用</t>
        </is>
      </c>
    </row>
    <row r="95">
      <c r="F95" s="68" t="n"/>
    </row>
  </sheetData>
  <autoFilter ref="A1:X90">
    <filterColumn colId="1" hiddenButton="0" showButton="1">
      <filters>
        <filter val="山东胜诚钢结构销售有限公司"/>
        <filter val="山东港通工程管理咨询有限公司"/>
        <filter val="山东星工液压科技有限公司"/>
      </filters>
    </filterColumn>
  </autoFilter>
  <hyperlinks>
    <hyperlink xmlns:r="http://schemas.openxmlformats.org/officeDocument/2006/relationships" ref="H84" display="zpynwz@163.com" r:id="rId1"/>
    <hyperlink xmlns:r="http://schemas.openxmlformats.org/officeDocument/2006/relationships" ref="H88" display="330198873@qq.com" r:id="rId2"/>
  </hyperlinks>
  <pageMargins left="0.75" right="0.75" top="1" bottom="1" header="0.5" footer="0.5"/>
  <legacyDrawing xmlns:r="http://schemas.openxmlformats.org/officeDocument/2006/relationships" r:id="anysvml"/>
</worksheet>
</file>

<file path=xl/worksheets/sheet3.xml><?xml version="1.0" encoding="utf-8"?>
<worksheet xmlns="http://schemas.openxmlformats.org/spreadsheetml/2006/main">
  <sheetPr codeName="Sheet25">
    <outlinePr summaryBelow="1" summaryRight="1"/>
    <pageSetUpPr/>
  </sheetPr>
  <dimension ref="A1:T5"/>
  <sheetViews>
    <sheetView zoomScale="85" zoomScaleNormal="85" workbookViewId="0">
      <pane ySplit="1" topLeftCell="A2" activePane="bottomLeft" state="frozen"/>
      <selection activeCell="A1" sqref="A1"/>
      <selection pane="bottomLeft" activeCell="D5" sqref="D5:I5"/>
    </sheetView>
  </sheetViews>
  <sheetFormatPr baseColWidth="8" defaultColWidth="8.891666666666669" defaultRowHeight="25.05" customHeight="1" outlineLevelRow="4"/>
  <cols>
    <col width="4.55833333333333" customWidth="1" min="1" max="1"/>
    <col width="8.33333333333333" customWidth="1" min="2" max="2"/>
    <col width="12.9" customWidth="1" min="3" max="3"/>
    <col width="20" customWidth="1" min="4" max="4"/>
    <col width="21.9666666666667" customWidth="1" min="5" max="5"/>
    <col width="22.4916666666667" customWidth="1" min="6" max="6"/>
    <col width="14.8916666666667" customWidth="1" min="7" max="7"/>
    <col width="4.55833333333333" customWidth="1" min="8" max="9"/>
    <col width="8.66666666666667" customWidth="1" min="10" max="10"/>
    <col width="10.775" customWidth="1" min="11" max="11"/>
    <col width="6.775" customWidth="1" min="12" max="12"/>
    <col width="5" customWidth="1" min="13" max="14"/>
    <col width="17" customWidth="1" min="15" max="15"/>
    <col width="6.66666666666667" customWidth="1" min="16" max="16"/>
    <col width="28.1083333333333" customWidth="1" min="17" max="17"/>
    <col width="6.44166666666667" customWidth="1" min="18" max="18"/>
    <col width="8.891666666666669" customWidth="1" style="59" min="20" max="20"/>
  </cols>
  <sheetData>
    <row r="1" customFormat="1" s="58">
      <c r="A1" s="36" t="inlineStr">
        <is>
          <t>序号</t>
        </is>
      </c>
      <c r="B1" s="36" t="inlineStr">
        <is>
          <t>月份</t>
        </is>
      </c>
      <c r="C1" s="36" t="inlineStr">
        <is>
          <t>计划单号</t>
        </is>
      </c>
      <c r="D1" s="36" t="inlineStr">
        <is>
          <t>物料编号</t>
        </is>
      </c>
      <c r="E1" s="60" t="inlineStr">
        <is>
          <t>物料名称</t>
        </is>
      </c>
      <c r="F1" s="36" t="inlineStr">
        <is>
          <t>英文描述</t>
        </is>
      </c>
      <c r="G1" s="36" t="inlineStr">
        <is>
          <t>规格型号/配件号</t>
        </is>
      </c>
      <c r="H1" s="36" t="inlineStr">
        <is>
          <t>单位</t>
        </is>
      </c>
      <c r="I1" s="36" t="inlineStr">
        <is>
          <t>数量</t>
        </is>
      </c>
      <c r="J1" s="74" t="inlineStr">
        <is>
          <t>销售单价</t>
        </is>
      </c>
      <c r="K1" s="74" t="inlineStr">
        <is>
          <t>销售金额</t>
        </is>
      </c>
      <c r="L1" s="36" t="inlineStr">
        <is>
          <t>箱号</t>
        </is>
      </c>
      <c r="M1" s="36" t="inlineStr">
        <is>
          <t>毛重</t>
        </is>
      </c>
      <c r="N1" s="36" t="inlineStr">
        <is>
          <t>净重</t>
        </is>
      </c>
      <c r="O1" s="36" t="inlineStr">
        <is>
          <t>尺码</t>
        </is>
      </c>
      <c r="P1" s="36" t="inlineStr">
        <is>
          <t>体积</t>
        </is>
      </c>
      <c r="Q1" s="36" t="inlineStr">
        <is>
          <t>备注</t>
        </is>
      </c>
      <c r="R1" s="62" t="inlineStr">
        <is>
          <t>供应商</t>
        </is>
      </c>
      <c r="S1" s="62" t="inlineStr">
        <is>
          <t>包装方式</t>
        </is>
      </c>
      <c r="T1" s="63" t="inlineStr">
        <is>
          <t>箱号</t>
        </is>
      </c>
    </row>
    <row r="2" ht="30" customHeight="1">
      <c r="A2" t="inlineStr">
        <is>
          <t>2</t>
        </is>
      </c>
      <c r="B2" t="n">
        <v>202503</v>
      </c>
      <c r="C2" t="inlineStr">
        <is>
          <t>MAZ-NWP-25003</t>
        </is>
      </c>
      <c r="D2" s="35" t="inlineStr">
        <is>
          <t>MAZ-NWP-25003-2</t>
        </is>
      </c>
      <c r="E2" s="35" t="inlineStr">
        <is>
          <t>新增备品备件及辅材</t>
        </is>
      </c>
      <c r="F2" s="35" t="inlineStr">
        <is>
          <t>Newly Added Spare Parts and Auxiliary Materials</t>
        </is>
      </c>
      <c r="G2" s="35" t="inlineStr">
        <is>
          <t>若干</t>
        </is>
      </c>
      <c r="H2" s="35" t="inlineStr">
        <is>
          <t>件</t>
        </is>
      </c>
      <c r="I2" s="35" t="n">
        <v>10</v>
      </c>
      <c r="K2" t="inlineStr">
        <is>
          <t>MAZ</t>
        </is>
      </c>
    </row>
    <row r="3" ht="30" customHeight="1">
      <c r="A3" t="n">
        <v>1</v>
      </c>
      <c r="B3" t="n">
        <v>202503</v>
      </c>
      <c r="C3" t="inlineStr">
        <is>
          <t>MAZ-NWP-25003</t>
        </is>
      </c>
      <c r="D3" s="35" t="inlineStr">
        <is>
          <t>MAZ-NWP-25003</t>
        </is>
      </c>
      <c r="E3" s="35" t="inlineStr">
        <is>
          <t>半移动式洗矿生产线设备</t>
        </is>
      </c>
      <c r="F3" t="inlineStr">
        <is>
          <t>Semi-mobile Ore Washing Production Line Equipment</t>
        </is>
      </c>
      <c r="G3" s="35" t="inlineStr">
        <is>
          <t>若干</t>
        </is>
      </c>
      <c r="H3" s="35" t="inlineStr">
        <is>
          <t>件</t>
        </is>
      </c>
      <c r="I3" s="35" t="n">
        <v>10</v>
      </c>
      <c r="K3" t="inlineStr">
        <is>
          <t>MAZ</t>
        </is>
      </c>
    </row>
    <row r="4" ht="30" customHeight="1">
      <c r="A4" t="n">
        <v>3</v>
      </c>
      <c r="B4" t="n">
        <v>202512</v>
      </c>
      <c r="C4" t="inlineStr">
        <is>
          <t>MAZ-NWP-25003</t>
        </is>
      </c>
      <c r="D4" s="35" t="inlineStr">
        <is>
          <t>MAZ-NWP-2504</t>
        </is>
      </c>
      <c r="E4" s="35" t="inlineStr">
        <is>
          <t>南方泵业水泵和控制柜</t>
        </is>
      </c>
      <c r="F4" s="40" t="inlineStr">
        <is>
          <t>CNP Water Pump / Nanfang Pump</t>
        </is>
      </c>
      <c r="G4" s="35" t="inlineStr">
        <is>
          <t>若干</t>
        </is>
      </c>
      <c r="H4" s="35" t="inlineStr">
        <is>
          <t>件</t>
        </is>
      </c>
      <c r="I4" s="35" t="n">
        <v>10</v>
      </c>
      <c r="K4" t="inlineStr">
        <is>
          <t>MAZ</t>
        </is>
      </c>
    </row>
    <row r="5" ht="30" customHeight="1">
      <c r="A5" t="n">
        <v>4</v>
      </c>
      <c r="B5" t="n">
        <v>202512</v>
      </c>
      <c r="C5" t="inlineStr">
        <is>
          <t>MAZ-NWP-25006</t>
        </is>
      </c>
      <c r="D5" s="35" t="inlineStr">
        <is>
          <t>MAZ-NWP-2505</t>
        </is>
      </c>
      <c r="E5" s="35" t="inlineStr">
        <is>
          <t>重变套装</t>
        </is>
      </c>
      <c r="F5" s="40" t="inlineStr">
        <is>
          <t>Chongqing Transformer Set</t>
        </is>
      </c>
      <c r="G5" s="35" t="inlineStr">
        <is>
          <t>若干</t>
        </is>
      </c>
      <c r="H5" s="35" t="inlineStr">
        <is>
          <t>件</t>
        </is>
      </c>
      <c r="I5" s="35" t="n">
        <v>10</v>
      </c>
      <c r="K5" t="inlineStr">
        <is>
          <t>MAZ</t>
        </is>
      </c>
    </row>
  </sheetData>
  <pageMargins left="0.75" right="0.75" top="1" bottom="1" header="0.5" footer="0.5"/>
</worksheet>
</file>

<file path=xl/worksheets/sheet4.xml><?xml version="1.0" encoding="utf-8"?>
<worksheet xmlns="http://schemas.openxmlformats.org/spreadsheetml/2006/main">
  <sheetPr codeName="Sheet24">
    <tabColor theme="6" tint="0.4"/>
    <outlinePr summaryBelow="1" summaryRight="1"/>
    <pageSetUpPr/>
  </sheetPr>
  <dimension ref="A1:P15"/>
  <sheetViews>
    <sheetView tabSelected="1" zoomScale="85" zoomScaleNormal="85" workbookViewId="0">
      <selection activeCell="D17" sqref="D17"/>
    </sheetView>
  </sheetViews>
  <sheetFormatPr baseColWidth="8" defaultColWidth="8.891666666666669" defaultRowHeight="18.75"/>
  <cols>
    <col width="27.9416666666667" customWidth="1" style="19" min="1" max="1"/>
    <col width="14.4083333333333" customWidth="1" style="19" min="2" max="2"/>
    <col width="12.9333333333333" customWidth="1" style="19" min="3" max="3"/>
    <col width="21.9" customWidth="1" style="19" min="4" max="4"/>
    <col width="17.9333333333333" customWidth="1" style="19" min="5" max="5"/>
    <col width="14.4083333333333" customWidth="1" style="19" min="6" max="6"/>
    <col width="15.625" customWidth="1" style="19" min="7" max="14"/>
    <col width="8.891666666666669" customWidth="1" style="14" min="15" max="15"/>
    <col width="9.125" customWidth="1" style="14" min="16" max="16"/>
    <col width="8.891666666666669" customWidth="1" style="14" min="17" max="16384"/>
  </cols>
  <sheetData>
    <row r="1" ht="42" customHeight="1">
      <c r="A1" s="19" t="inlineStr">
        <is>
          <t>合同号</t>
        </is>
      </c>
      <c r="B1" s="19" t="inlineStr">
        <is>
          <t>合同名</t>
        </is>
      </c>
      <c r="C1" s="19" t="inlineStr">
        <is>
          <t>合同类型</t>
        </is>
      </c>
      <c r="D1" s="19" t="inlineStr">
        <is>
          <t>供应商</t>
        </is>
      </c>
      <c r="E1" s="19" t="inlineStr">
        <is>
          <t>供应商编码</t>
        </is>
      </c>
      <c r="F1" s="19" t="inlineStr">
        <is>
          <t>签订日期</t>
        </is>
      </c>
      <c r="G1" s="19" t="inlineStr">
        <is>
          <t>标的物名称</t>
        </is>
      </c>
      <c r="H1" s="19" t="inlineStr">
        <is>
          <t>收货地址</t>
        </is>
      </c>
      <c r="I1" s="19" t="inlineStr">
        <is>
          <t>收货人</t>
        </is>
      </c>
      <c r="J1" s="19" t="inlineStr">
        <is>
          <t>运输方式</t>
        </is>
      </c>
      <c r="K1" s="52" t="inlineStr">
        <is>
          <t>交货期限</t>
        </is>
      </c>
      <c r="L1" s="19" t="inlineStr">
        <is>
          <t>运费承担</t>
        </is>
      </c>
      <c r="M1" s="19" t="inlineStr">
        <is>
          <t>付款条款</t>
        </is>
      </c>
      <c r="N1" s="19" t="inlineStr">
        <is>
          <t>验收标准</t>
        </is>
      </c>
      <c r="O1" s="14" t="inlineStr">
        <is>
          <t>金额</t>
        </is>
      </c>
    </row>
    <row r="2" ht="20" customHeight="1">
      <c r="A2" s="19" t="inlineStr">
        <is>
          <t>BMGG-BTXL-2026-5673-1</t>
        </is>
      </c>
      <c r="B2" s="19" t="inlineStr">
        <is>
          <t>窑收尘系统物料</t>
        </is>
      </c>
      <c r="C2" s="19" t="inlineStr">
        <is>
          <t>采购合同</t>
        </is>
      </c>
      <c r="D2" s="53" t="inlineStr">
        <is>
          <t>泊头市鑫龙除尘设备有限公司</t>
        </is>
      </c>
      <c r="E2" s="54" t="inlineStr">
        <is>
          <t>Supplier_080</t>
        </is>
      </c>
      <c r="F2" s="55" t="n">
        <v>46315</v>
      </c>
      <c r="G2" s="19" t="inlineStr">
        <is>
          <t>窑收尘系统物料</t>
        </is>
      </c>
      <c r="H2" s="56" t="inlineStr">
        <is>
          <t>太仓港或国内其他主要港口，具体待通知</t>
        </is>
      </c>
      <c r="I2" s="56" t="inlineStr">
        <is>
          <t>待通知</t>
        </is>
      </c>
      <c r="J2" s="56" t="inlineStr">
        <is>
          <t>港口集装箱提货</t>
        </is>
      </c>
      <c r="K2" s="56" t="inlineStr">
        <is>
          <t>货期60天</t>
        </is>
      </c>
      <c r="L2" s="56" t="inlineStr">
        <is>
          <t>乙方承担运费（乙方向甲方提供运输发票或者单据复印件）</t>
        </is>
      </c>
      <c r="M2" s="19" t="inlineStr">
        <is>
          <t>1、预付20%备货；
2、发货前且收到13%增值税专用发票付80%余款；
3、付款方式为银行电汇</t>
        </is>
      </c>
      <c r="N2" s="19" t="inlineStr">
        <is>
          <t>1、甲方仅对乙方所交付产品数量做验收；
2、产品质量、规格及型号按国家产品质量标准执行；
3、质保期：正常使用质保壹年</t>
        </is>
      </c>
    </row>
    <row r="3" ht="116" customHeight="1">
      <c r="A3" s="19" t="inlineStr">
        <is>
          <t>BMGG-MAZ-26104</t>
        </is>
      </c>
      <c r="B3" s="19" t="inlineStr">
        <is>
          <t>钢板桩采购合同</t>
        </is>
      </c>
      <c r="C3" s="19" t="inlineStr">
        <is>
          <t>采购合同</t>
        </is>
      </c>
      <c r="D3" s="53" t="inlineStr">
        <is>
          <t>山东胜诚钢结构销售有限公司</t>
        </is>
      </c>
      <c r="E3" s="54" t="inlineStr">
        <is>
          <t>Supplier_079</t>
        </is>
      </c>
      <c r="F3" s="55" t="n">
        <v>46315</v>
      </c>
      <c r="G3" s="19" t="inlineStr">
        <is>
          <t>热轧钢板桩</t>
        </is>
      </c>
      <c r="H3" s="56" t="inlineStr">
        <is>
          <t>太仓港或国内其他主要港口，具体待通知</t>
        </is>
      </c>
      <c r="I3" s="56" t="inlineStr">
        <is>
          <t>待通知</t>
        </is>
      </c>
      <c r="J3" s="56" t="inlineStr">
        <is>
          <t>乙方推荐</t>
        </is>
      </c>
      <c r="K3" s="56" t="inlineStr">
        <is>
          <t>甲方通知发货之日起7天内</t>
        </is>
      </c>
      <c r="L3" s="56" t="inlineStr">
        <is>
          <t>乙方承担运费（乙方向甲方提供运输发票或者单据复印件）</t>
        </is>
      </c>
      <c r="M3" s="19" t="inlineStr">
        <is>
          <t>1、合同签订后，甲方需在7个工作日内支付货款总额的20%作为预付款，乙方收到预付款后安排发货。
2、甲方完成货物验收，且第三方检验报告结果符合国家标准要求，同时乙方开具合同全额13%税率的增值税专用发票后，甲方需在7个工作日内支付剩余全部货款。
3、支付方式：银行电汇</t>
        </is>
      </c>
      <c r="N3" s="19" t="inlineStr">
        <is>
          <t>5.1、打包前通知与到场验货：乙方应在每批次钢板桩打包前至少【5】个工作日以书面方式通知甲方，通知内容包括生产批次、炉批号、规格型号、数量、打包地点、预计打包时间及第三方取样安排。甲方或其委托代表有权前往现场验货。未经甲方书面同意，乙方不得擅自打包。
5.2、见证第三方取样：乙方应配合甲方或其委托的具备CMA/CNAS等资质的第三方检测机构，在打包前按批次、炉批号及GB/T 20933-2021要求进行取样，甲方或其代表现场见证。样品应现场封存、标识并编号，编号须与实物铭牌/钢印、炉批号、质量证明书及检测报告一一对应。检测费用由乙方承担。
5.3、见证打包与编号：取样及验货完成后，乙方应在甲方或其代表见证下进行打包、编号。钢板桩应采用钢带或扁铁捆扎，每捆基准数量为10根，最多不得超过40根；吊点、软质衬垫及锁口、端头防护应按招标文件技术规格书执行。每捆/每根应设置唯一、清晰、牢固的编号，并与质量证明书、检测报告、发货清单一致。乙方应对打包、编号及防护情况留存影像资料。
5.4、出厂检验内容：甲方验货包括但不限于：规格型号PU400×125×13（SP-III型）、材质Q355P、单根长度9m、数量330根、理论重量、化学成分、力学性能、锁口尺寸及公差、表面质量，以及质量证明文件与实物铭牌/钢印的批号、牌号、规格一致性。质量证明书应按每批或每达60吨单独出具。
5.5、到港验收：货物运抵港口后，甲方或其委托收货方进行入场检验，包括重量偏差、几何尺寸、外观（含锁口及桩身）、质量证明文件真伪及证货一致性；几何尺寸抽检比例不得低于该批次到货数量的5%，并对锁口进行逐根检查。甲方有权过磅复核并委托第三方检验。未经入场检验或检验不合格的，甲方有权拒绝收货，不予办理验收、入库及结算。
5.6、不合格处理：因装卸、运输防护不当导致锁口变形、桩身损伤，影响正常咬合使用的，甲方有权拒收。乙方应承担检测费、退换货运费、在港滞留费及工期延误损失等全部费用，并按不合格部分对应合同价款的10%向甲方支付违约金。累计两次供货不合格或拒不配合处理的，甲方有权解除合同、列入供应黑名单并追索损失。
5.7、验收合格与质保：验收合格后，双方签署验收单，作为结算及付款依据之一。质量保证期自港口验收合格之日起6个月。质保期内因材料本身质量问题导致无法使用的，乙方负责免费更换；乙方应在接到甲方质量异议通知后24小时内响应，并协商派员到场处理。</t>
        </is>
      </c>
      <c r="O3" s="14" t="n">
        <v>735900</v>
      </c>
      <c r="P3" s="14">
        <f>O3*0.2</f>
        <v/>
      </c>
    </row>
    <row r="4" ht="20" customHeight="1">
      <c r="A4" s="19" t="inlineStr">
        <is>
          <t>BMGG-MAZ-26107</t>
        </is>
      </c>
      <c r="B4" s="19" t="inlineStr">
        <is>
          <t>维修五金工具采购合同</t>
        </is>
      </c>
      <c r="C4" s="19" t="inlineStr">
        <is>
          <t>采购合同</t>
        </is>
      </c>
      <c r="D4" s="53" t="inlineStr">
        <is>
          <t>重庆鑫方盛电子商务有限公司</t>
        </is>
      </c>
      <c r="E4" s="54" t="inlineStr">
        <is>
          <t>Supplier_081</t>
        </is>
      </c>
      <c r="F4" s="55" t="n">
        <v>46315</v>
      </c>
      <c r="G4" s="19" t="inlineStr">
        <is>
          <t>维修五金工具</t>
        </is>
      </c>
      <c r="H4" s="56" t="inlineStr">
        <is>
          <t>上海港或国内其他主要港口，具体待通知</t>
        </is>
      </c>
      <c r="I4" s="56" t="inlineStr">
        <is>
          <t>待通知</t>
        </is>
      </c>
      <c r="J4" s="56" t="inlineStr">
        <is>
          <t>乙方推荐</t>
        </is>
      </c>
      <c r="K4" s="56" t="inlineStr">
        <is>
          <t>自本合同签订之日起7天内</t>
        </is>
      </c>
      <c r="L4" s="56" t="inlineStr">
        <is>
          <t>乙方承担运费（乙方向甲方提供运输发票或者单据复印件）</t>
        </is>
      </c>
      <c r="M4" s="19" t="inlineStr">
        <is>
          <t>1、先货后款，收到货物和全额13%增值税专用发票后7个工作日支付全款。
2、支付方式：银行电汇</t>
        </is>
      </c>
      <c r="N4" s="19" t="inlineStr">
        <is>
          <t>甲方仅对乙方所交付产品数量做验收，产品质量需达到原厂件同等质量水平，质量按相关国家行业质量标准执行(注明的除外)，并提供相关证书。合同一经签订，若非因错件或产品质量问题，甲方不得随意退货。</t>
        </is>
      </c>
    </row>
    <row r="5" ht="20" customHeight="1">
      <c r="A5" s="19" t="inlineStr">
        <is>
          <t>BMGG-MAZ-26106</t>
        </is>
      </c>
      <c r="B5" s="19" t="inlineStr">
        <is>
          <t>维修五金工具采购合同</t>
        </is>
      </c>
      <c r="C5" s="19" t="inlineStr">
        <is>
          <t>采购合同</t>
        </is>
      </c>
      <c r="D5" s="53" t="inlineStr">
        <is>
          <t>震坤行工业超市（上海）有限公司</t>
        </is>
      </c>
      <c r="E5" s="54" t="inlineStr">
        <is>
          <t>Supplier_071</t>
        </is>
      </c>
      <c r="F5" s="55" t="n">
        <v>46315</v>
      </c>
      <c r="G5" s="19" t="inlineStr">
        <is>
          <t>维修五金工具</t>
        </is>
      </c>
      <c r="H5" s="56" t="inlineStr">
        <is>
          <t>上海港或国内其他主要港口，具体待通知</t>
        </is>
      </c>
      <c r="I5" s="56" t="inlineStr">
        <is>
          <t>待通知</t>
        </is>
      </c>
      <c r="J5" s="56" t="inlineStr">
        <is>
          <t>乙方推荐</t>
        </is>
      </c>
      <c r="K5" s="56" t="inlineStr">
        <is>
          <t>自本合同签订之日起7天内</t>
        </is>
      </c>
      <c r="L5" s="56" t="inlineStr">
        <is>
          <t>乙方承担运费（乙方向甲方提供运输发票或者单据复印件）</t>
        </is>
      </c>
      <c r="M5" s="19" t="inlineStr">
        <is>
          <t>1、先货后款，收到货物和全额13%增值税专用发票后7个工作日支付全款。
2、支付方式：银行电汇</t>
        </is>
      </c>
      <c r="N5" s="19" t="inlineStr">
        <is>
          <t>甲方仅对乙方所交付产品数量做验收，产品质量需达到原厂件同等质量水平，质量按相关国家行业质量标准执行(注明的除外)，并提供相关证书。合同一经签订，若非因错件或产品质量问题，甲方不得随意退货。</t>
        </is>
      </c>
    </row>
    <row r="6" ht="20" customHeight="1">
      <c r="A6" s="19" t="inlineStr">
        <is>
          <t>BMGG-MAZ-26105</t>
        </is>
      </c>
      <c r="B6" s="19" t="inlineStr">
        <is>
          <t>冶金级配件采购合同</t>
        </is>
      </c>
      <c r="C6" s="19" t="inlineStr">
        <is>
          <t>采购合同</t>
        </is>
      </c>
      <c r="D6" s="53" t="inlineStr">
        <is>
          <t>西域智慧供应链(上海)股份公司</t>
        </is>
      </c>
      <c r="E6" s="54" t="inlineStr">
        <is>
          <t>Supplier_082</t>
        </is>
      </c>
      <c r="F6" s="55" t="n">
        <v>46315</v>
      </c>
      <c r="G6" s="19" t="inlineStr">
        <is>
          <t>冶金级配件</t>
        </is>
      </c>
      <c r="H6" s="56" t="inlineStr">
        <is>
          <t>上海港或国内其他主要港口，具体待通知</t>
        </is>
      </c>
      <c r="I6" s="56" t="inlineStr">
        <is>
          <t>待通知</t>
        </is>
      </c>
      <c r="J6" s="56" t="inlineStr">
        <is>
          <t>乙方推荐</t>
        </is>
      </c>
      <c r="K6" s="56" t="inlineStr">
        <is>
          <t>自本合同签订之日起7天内</t>
        </is>
      </c>
      <c r="L6" s="56" t="inlineStr">
        <is>
          <t>乙方承担运费（乙方向甲方提供运输发票或者单据复印件）</t>
        </is>
      </c>
      <c r="M6" s="19" t="inlineStr">
        <is>
          <t>1、先货后款，收到货物和全额13%增值税专用发票后7个工作日支付全款。
2、支付方式：银行电汇</t>
        </is>
      </c>
      <c r="N6" s="19" t="inlineStr">
        <is>
          <t>甲方仅对乙方所交付产品数量做验收，产品质量需达到原厂件同等质量水平，质量按相关国家行业质量标准执行(注明的除外)，并提供相关证书。合同一经签订，若非因错件或产品质量问题，甲方不得随意退货。</t>
        </is>
      </c>
    </row>
    <row r="7" ht="20" customHeight="1">
      <c r="A7" s="19" t="inlineStr">
        <is>
          <t>BMGG-MAZ-26108</t>
        </is>
      </c>
      <c r="B7" s="19" t="inlineStr">
        <is>
          <t>海信变频驻车空调采购合同</t>
        </is>
      </c>
      <c r="C7" s="19" t="inlineStr">
        <is>
          <t>采购合同</t>
        </is>
      </c>
      <c r="D7" s="53" t="inlineStr">
        <is>
          <t>内蒙古精创电气有限公司</t>
        </is>
      </c>
      <c r="E7" s="54" t="inlineStr">
        <is>
          <t>Supplier_083</t>
        </is>
      </c>
      <c r="F7" s="55" t="n">
        <v>46315</v>
      </c>
      <c r="G7" s="19" t="inlineStr">
        <is>
          <t>海信变频驻车空调</t>
        </is>
      </c>
      <c r="H7" s="56" t="inlineStr">
        <is>
          <t>上海港或国内其他主要港口，具体待通知</t>
        </is>
      </c>
      <c r="I7" s="56" t="inlineStr">
        <is>
          <t>待通知</t>
        </is>
      </c>
      <c r="J7" s="56" t="inlineStr">
        <is>
          <t>乙方推荐</t>
        </is>
      </c>
      <c r="K7" s="56" t="inlineStr">
        <is>
          <t>自本合同签订之日起15天内</t>
        </is>
      </c>
      <c r="L7" s="56" t="inlineStr">
        <is>
          <t>乙方承担运费（乙方向甲方提供运输发票或者单据复印件）</t>
        </is>
      </c>
      <c r="M7" s="19" t="inlineStr">
        <is>
          <t>1、第一次付款(预付款):双方签订合同盖章后，甲方支付合同总金额的10%作为预付款，乙方备货;
2、第二次付款:甲方在国内指定地点收到货且甲方收到乙方开具的13%全额增值税专用发票后，甲方支付合同总金额的90%货款;
3、支付方式为银行转账方式。</t>
        </is>
      </c>
      <c r="N7" s="19" t="inlineStr">
        <is>
          <t>甲方仅对乙方所交付产品数量做验收，产品质量、规格及型号按国家产品质量标准
执行。</t>
        </is>
      </c>
    </row>
    <row r="8" ht="20" customHeight="1">
      <c r="A8" s="19" t="inlineStr">
        <is>
          <t>BMGG-MAZ-NWP-25003</t>
        </is>
      </c>
      <c r="B8" s="19" t="inlineStr">
        <is>
          <t>半移动式洗矿生产线设备合同</t>
        </is>
      </c>
      <c r="C8" s="19" t="inlineStr">
        <is>
          <t>设备采购合同</t>
        </is>
      </c>
      <c r="D8" s="53" t="inlineStr">
        <is>
          <t>昆明茨坝矿山机械有限公司</t>
        </is>
      </c>
      <c r="E8" s="54" t="inlineStr">
        <is>
          <t>Supplier_084</t>
        </is>
      </c>
      <c r="F8" s="55" t="n">
        <v>46032</v>
      </c>
      <c r="G8" s="19" t="inlineStr">
        <is>
          <t>半移动式洗矿生产线设备</t>
        </is>
      </c>
      <c r="H8" s="56" t="inlineStr">
        <is>
          <t>圭亚那合作共和国奥马矿区（Omai Mine Site, Guyana）</t>
        </is>
      </c>
      <c r="I8" s="56" t="inlineStr">
        <is>
          <t>博赛集团（圭亚那）有限公司指定现场接收人</t>
        </is>
      </c>
      <c r="J8" s="56" t="inlineStr">
        <is>
          <t>海运+陆运（CIF乔治敦港，乙方负责至目的港；港后至矿区由甲方安排，乙方提供技术指导）</t>
        </is>
      </c>
      <c r="K8" s="56" t="inlineStr">
        <is>
          <t>合同签订后90天内完成全部设备发运（即2026年4月10日前）</t>
        </is>
      </c>
      <c r="L8" s="56" t="inlineStr">
        <is>
          <t>乙方承担至CIF乔治敦港的海运费及保险费；港后至矿区陆运费由甲方承担</t>
        </is>
      </c>
      <c r="M8" s="19" t="inlineStr">
        <is>
          <t>1. 预付款：合同签订后15日内支付合同总价30%；
2. 发货款：乙方提供全套发运单据后15日内支付40%；
3. 到货款：货物抵达乔治敦港并经甲方初步核验后15日内支付20%；
4. 质保金：剩余10%作为质保金，质保期（12个月）满且无质量问题后30日内无息支付。</t>
        </is>
      </c>
      <c r="N8" s="19" t="inlineStr">
        <is>
          <t>1. 出厂前检验：乙方提供出厂合格证及检测报告，甲方可派员监造；
2. 到货验收：依据装箱单及技术协议核对数量、外观及规格；
3. 安装调试验收：设备安装调试完成后72小时连续试运行合格，双方签署最终验收证书；
4. 质量标准：符合中国国家标准及合同约定的技术参数，满足年产200万吨铝土矿洗选要求。</t>
        </is>
      </c>
    </row>
    <row r="9" ht="20" customHeight="1">
      <c r="A9" s="19" t="inlineStr">
        <is>
          <t>BMGG-MAZ-NWP-25003-补01</t>
        </is>
      </c>
      <c r="B9" s="19" t="inlineStr">
        <is>
          <t>半移动式洗矿生产线采购合同-补充协议（一）</t>
        </is>
      </c>
      <c r="C9" s="19" t="inlineStr">
        <is>
          <t>补充协议</t>
        </is>
      </c>
      <c r="D9" s="53" t="inlineStr">
        <is>
          <t>昆明茨坝矿山机械有限公司</t>
        </is>
      </c>
      <c r="E9" s="54" t="inlineStr">
        <is>
          <t>Supplier_084</t>
        </is>
      </c>
      <c r="F9" s="55" t="n">
        <v>46242</v>
      </c>
      <c r="G9" s="19" t="inlineStr">
        <is>
          <t>新增备品备件及辅材</t>
        </is>
      </c>
      <c r="H9" s="56" t="inlineStr">
        <is>
          <t>圭亚那合作共和国奥马矿区（Omai Mine Site, Guyana）</t>
        </is>
      </c>
      <c r="I9" s="56" t="inlineStr">
        <is>
          <t>博赛集团（圭亚那）有限公司指定现场接收人</t>
        </is>
      </c>
      <c r="J9" s="56" t="inlineStr">
        <is>
          <t>同主合同（CIF乔治敦港）</t>
        </is>
      </c>
      <c r="K9" s="56" t="inlineStr">
        <is>
          <t>补充协议签订后30天内完成新增货物发运（即2026年9月7日前）</t>
        </is>
      </c>
      <c r="L9" s="56" t="inlineStr">
        <is>
          <t>乙方承担至CIF乔治敦港的海运费及保险费；港后至矿区陆运费由甲方承担</t>
        </is>
      </c>
      <c r="M9" s="19" t="inlineStr">
        <is>
          <t>新增货物价款并入主合同结算，付款节点与主合同保持一致；已支付的预付款按比例抵扣新增款项。</t>
        </is>
      </c>
      <c r="N9" s="19" t="inlineStr">
        <is>
          <t>新增备品备件及辅材按主合同验收标准执行，随主设备一并验收或单独到货验收，以先到者为准。</t>
        </is>
      </c>
    </row>
    <row r="10" ht="20" customHeight="1">
      <c r="A10" s="19" t="inlineStr">
        <is>
          <t>BMGG-MAZ-NWP-25004</t>
        </is>
      </c>
      <c r="B10" s="19" t="inlineStr">
        <is>
          <t>水泵购销合同</t>
        </is>
      </c>
      <c r="C10" s="19" t="inlineStr">
        <is>
          <t>采购合同</t>
        </is>
      </c>
      <c r="D10" s="53" t="inlineStr">
        <is>
          <t>南方泵业股份有限公司</t>
        </is>
      </c>
      <c r="E10" s="54" t="inlineStr">
        <is>
          <t>Supplier_085</t>
        </is>
      </c>
      <c r="F10" s="55" t="n">
        <v>46008</v>
      </c>
      <c r="G10" s="19" t="inlineStr">
        <is>
          <t>水泵及配套设备</t>
        </is>
      </c>
      <c r="H10" s="56" t="inlineStr">
        <is>
          <t>甲方指定地点</t>
        </is>
      </c>
      <c r="I10" s="56" t="inlineStr">
        <is>
          <t>甲方现场负责人</t>
        </is>
      </c>
      <c r="J10" s="56" t="inlineStr">
        <is>
          <t>汽车运输</t>
        </is>
      </c>
      <c r="K10" s="56" t="inlineStr">
        <is>
          <t>合同签订后30个日历日内完成全部货物交付</t>
        </is>
      </c>
      <c r="L10" s="56" t="inlineStr">
        <is>
          <t>乙方承担（含装卸费、保险费及运至指定收货地点的所有费用）</t>
        </is>
      </c>
      <c r="M10" s="19" t="inlineStr">
        <is>
          <t>1. 预付款：合同签订后7个工作日内支付合同总价30%；
2. 到货款：货物到场验收合格后支付60%；
3. 质保金：剩余10%作为质保金，质保期满且无质量问题后30日内无息付清。</t>
        </is>
      </c>
      <c r="N10" s="19" t="inlineStr">
        <is>
          <t>1. 符合国家现行相关技术标准及行业规范； 
2. 符合合同约定的技术参数及性能指标； 
3. 提供完整的产品合格证、出厂检验报告及技术资料； 
4. 现场安装调试运行正常，经双方签字确认视为验收合格。</t>
        </is>
      </c>
    </row>
    <row r="11" ht="20" customHeight="1">
      <c r="A11" s="19" t="inlineStr">
        <is>
          <t>BMGG-MAZ-NWP-25006</t>
        </is>
      </c>
      <c r="B11" s="19" t="inlineStr">
        <is>
          <t>变电站采购合同</t>
        </is>
      </c>
      <c r="C11" s="19" t="inlineStr">
        <is>
          <t>采购合同</t>
        </is>
      </c>
      <c r="D11" s="53" t="inlineStr">
        <is>
          <t>重庆重变电器有限责任公司</t>
        </is>
      </c>
      <c r="E11" s="54" t="inlineStr">
        <is>
          <t>Supplier_015</t>
        </is>
      </c>
      <c r="F11" s="55" t="n">
        <v>46027</v>
      </c>
      <c r="G11" s="19" t="inlineStr">
        <is>
          <t>变电站成套设备及配套材料</t>
        </is>
      </c>
      <c r="H11" s="56" t="inlineStr">
        <is>
          <t>甲方项目现场指定地点</t>
        </is>
      </c>
      <c r="I11" s="56" t="inlineStr">
        <is>
          <t>甲方授权现场代表</t>
        </is>
      </c>
      <c r="J11" s="56" t="inlineStr">
        <is>
          <t>汽车运输</t>
        </is>
      </c>
      <c r="K11" s="56" t="inlineStr">
        <is>
          <t>合同签订后45个日历日内完成全部货物交付至指定地点</t>
        </is>
      </c>
      <c r="L11" s="56" t="inlineStr">
        <is>
          <t>乙方承担（含包装费、装卸费、运输保险费及运抵收货地点的所有费用）</t>
        </is>
      </c>
      <c r="M11" s="19" t="inlineStr">
        <is>
          <t>1. 预付款：合同生效后10个工作日内支付合同总价30%；
2. 到货款：货物到场开箱验收合格后30日内支付60%；
3. 质保金：剩余10%作为质量保证金，质保期满且无未解决质量问题后30日内无息付清。</t>
        </is>
      </c>
      <c r="N11" s="19" t="inlineStr">
        <is>
          <t>1. 符合国家现行电力设备技术标准及行业规范；
2. 符合合同约定的技术参数、图纸及性能指标；
3. 提供完整的产品合格证、出厂试验报告、型式试验报告及技术资料；
4. 现场安装调试完成，经72小时试运行合格，双方签署验收确认单视为最终验收通过。</t>
        </is>
      </c>
    </row>
    <row r="12" ht="62" customHeight="1">
      <c r="A12" s="19" t="inlineStr">
        <is>
          <t>BMGG-MAZ-26110</t>
        </is>
      </c>
      <c r="B12" s="19" t="inlineStr">
        <is>
          <t>电焊机ZX7-500HA采购合同</t>
        </is>
      </c>
      <c r="C12" s="19" t="inlineStr">
        <is>
          <t>采购合同</t>
        </is>
      </c>
      <c r="D12" s="53" t="inlineStr">
        <is>
          <t>成都宏谷焊割设备有限公司</t>
        </is>
      </c>
      <c r="E12" s="54" t="inlineStr">
        <is>
          <t>Supplier_023</t>
        </is>
      </c>
      <c r="F12" s="55" t="n">
        <v>46325</v>
      </c>
      <c r="G12" s="19" t="inlineStr">
        <is>
          <t>电焊机ZX7-500HA采购</t>
        </is>
      </c>
      <c r="H12" s="56" t="inlineStr">
        <is>
          <t>上海港或国内其他主要港口，具体待通知</t>
        </is>
      </c>
      <c r="I12" s="56" t="inlineStr">
        <is>
          <t>待通知</t>
        </is>
      </c>
      <c r="J12" s="56" t="inlineStr">
        <is>
          <t>乙方推荐</t>
        </is>
      </c>
      <c r="K12" s="56" t="inlineStr">
        <is>
          <t>自本合同签订之日起7天内</t>
        </is>
      </c>
      <c r="L12" s="56" t="inlineStr">
        <is>
          <t>乙方承担运费（乙方向甲方提供运输发票或者单据复印件）</t>
        </is>
      </c>
      <c r="M12" s="19" t="inlineStr">
        <is>
          <t>1、先货后款，收到货物和全额13%增值税专用发票后7个工作日支付全款。
2、支付方式：银行电汇</t>
        </is>
      </c>
      <c r="N12" s="19" t="inlineStr">
        <is>
          <t>1、甲方仅对乙方所交付产品数量做验收；
2、产品质量、规格及型号按国家产品质量标准执行；
3、质保期：正常使用质保壹年</t>
        </is>
      </c>
    </row>
    <row r="13" ht="20" customHeight="1">
      <c r="A13" s="19" t="inlineStr">
        <is>
          <t>BMGG-MAZ-26111</t>
        </is>
      </c>
      <c r="B13" s="19" t="inlineStr">
        <is>
          <t>履带压链机采购合同</t>
        </is>
      </c>
      <c r="C13" s="19" t="inlineStr">
        <is>
          <t>采购合同</t>
        </is>
      </c>
      <c r="D13" s="53" t="inlineStr">
        <is>
          <t>山东星工液压科技有限公司</t>
        </is>
      </c>
      <c r="E13" s="54" t="inlineStr">
        <is>
          <t>Supplier_085</t>
        </is>
      </c>
      <c r="F13" s="55" t="n">
        <v>46325</v>
      </c>
      <c r="G13" s="19" t="inlineStr">
        <is>
          <t>履带压链机采购</t>
        </is>
      </c>
      <c r="H13" s="56" t="inlineStr">
        <is>
          <t>上海港或国内其他主要港口，具体待通知</t>
        </is>
      </c>
      <c r="I13" s="56" t="inlineStr">
        <is>
          <t>待通知</t>
        </is>
      </c>
      <c r="J13" s="56" t="inlineStr">
        <is>
          <t>乙方推荐</t>
        </is>
      </c>
      <c r="K13" s="56" t="inlineStr">
        <is>
          <t>自本合同签订之日起15天内</t>
        </is>
      </c>
      <c r="L13" s="56" t="inlineStr">
        <is>
          <t>乙方承担运费（乙方向甲方提供运输发票或者单据复印件）</t>
        </is>
      </c>
      <c r="M13" s="19" t="inlineStr">
        <is>
          <t>1、付款方式为先款后货：合同签订后7个工作日内支付全款，卖家收到全额货款后3个工作日内开具全额13%增值税专用发票，卖方收到全部货款后15日内发货。
2、支付渠道：银行电汇</t>
        </is>
      </c>
      <c r="N13" s="19" t="inlineStr">
        <is>
          <t>1、甲方仅对乙方所交付产品数量做验收；
2、产品质量、规格及型号按国家产品质量标准执行；
3、质保期：自交付验收合格之日起12个月。</t>
        </is>
      </c>
    </row>
    <row r="14">
      <c r="G14" s="75" t="n"/>
    </row>
    <row r="15">
      <c r="G15" s="75" t="n"/>
    </row>
  </sheetData>
  <pageMargins left="0.75" right="0.75" top="1" bottom="1" header="0.5" footer="0.5"/>
</worksheet>
</file>

<file path=xl/worksheets/sheet5.xml><?xml version="1.0" encoding="utf-8"?>
<worksheet xmlns="http://schemas.openxmlformats.org/spreadsheetml/2006/main">
  <sheetPr codeName="Sheet2">
    <tabColor theme="9" tint="0.599993896298105"/>
    <outlinePr summaryBelow="1" summaryRight="1"/>
    <pageSetUpPr/>
  </sheetPr>
  <dimension ref="A1:X8"/>
  <sheetViews>
    <sheetView workbookViewId="0">
      <pane ySplit="1" topLeftCell="A2" activePane="bottomLeft" state="frozen"/>
      <selection activeCell="A1" sqref="A1"/>
      <selection pane="bottomLeft" activeCell="F31" sqref="F31"/>
    </sheetView>
  </sheetViews>
  <sheetFormatPr baseColWidth="8" defaultColWidth="9" defaultRowHeight="13.5" outlineLevelRow="7"/>
  <cols>
    <col width="14" customWidth="1" min="1" max="10"/>
    <col width="16" customWidth="1" min="11" max="11"/>
    <col width="14" customWidth="1" min="12" max="15"/>
    <col width="14" customWidth="1" style="46" min="16" max="16"/>
    <col width="14" customWidth="1" min="17" max="24"/>
  </cols>
  <sheetData>
    <row r="1" ht="22.05" customHeight="1">
      <c r="A1" s="5" t="inlineStr">
        <is>
          <t>客商类型</t>
        </is>
      </c>
      <c r="B1" s="5" t="inlineStr">
        <is>
          <t>名称</t>
        </is>
      </c>
      <c r="C1" s="5" t="inlineStr">
        <is>
          <t>编码</t>
        </is>
      </c>
      <c r="D1" s="6" t="inlineStr">
        <is>
          <t>简称</t>
        </is>
      </c>
      <c r="E1" s="6" t="inlineStr">
        <is>
          <t>联系人</t>
        </is>
      </c>
      <c r="F1" s="6" t="inlineStr">
        <is>
          <t>联系电话</t>
        </is>
      </c>
      <c r="G1" s="6" t="inlineStr">
        <is>
          <t>手机</t>
        </is>
      </c>
      <c r="H1" s="6" t="inlineStr">
        <is>
          <t>邮箱</t>
        </is>
      </c>
      <c r="I1" s="6" t="inlineStr">
        <is>
          <t>业务员</t>
        </is>
      </c>
      <c r="J1" s="6" t="inlineStr">
        <is>
          <t>供应商类别</t>
        </is>
      </c>
      <c r="K1" s="6" t="inlineStr">
        <is>
          <t>纳税人识别号</t>
        </is>
      </c>
      <c r="L1" s="6" t="inlineStr">
        <is>
          <t>默认税率</t>
        </is>
      </c>
      <c r="M1" s="6" t="inlineStr">
        <is>
          <t>开票名称</t>
        </is>
      </c>
      <c r="N1" s="6" t="inlineStr">
        <is>
          <t>开户银行</t>
        </is>
      </c>
      <c r="O1" s="6" t="inlineStr">
        <is>
          <t>账户名称</t>
        </is>
      </c>
      <c r="P1" s="47" t="inlineStr">
        <is>
          <t>银行账号</t>
        </is>
      </c>
      <c r="Q1" s="6" t="inlineStr">
        <is>
          <t>开户支行</t>
        </is>
      </c>
      <c r="R1" s="6" t="inlineStr">
        <is>
          <t>开票电话</t>
        </is>
      </c>
      <c r="S1" s="6" t="inlineStr">
        <is>
          <t>开票地址</t>
        </is>
      </c>
      <c r="T1" s="6" t="inlineStr">
        <is>
          <t>通讯地址</t>
        </is>
      </c>
      <c r="U1" s="6" t="inlineStr">
        <is>
          <t>法人代表</t>
        </is>
      </c>
      <c r="V1" s="6" t="inlineStr">
        <is>
          <t>委托代理人</t>
        </is>
      </c>
      <c r="W1" s="6" t="inlineStr">
        <is>
          <t>状态</t>
        </is>
      </c>
      <c r="X1" s="6" t="inlineStr">
        <is>
          <t>备注</t>
        </is>
      </c>
    </row>
    <row r="2" ht="25.05" customFormat="1" customHeight="1" s="44">
      <c r="A2" s="48" t="inlineStr">
        <is>
          <t>供应商</t>
        </is>
      </c>
      <c r="B2" s="49" t="inlineStr">
        <is>
          <t>山东星工液压科技有限公司</t>
        </is>
      </c>
      <c r="C2" s="48" t="inlineStr">
        <is>
          <t>Supplier_085</t>
        </is>
      </c>
      <c r="D2" s="49" t="inlineStr">
        <is>
          <t>星工液压</t>
        </is>
      </c>
      <c r="E2" s="49" t="inlineStr">
        <is>
          <t>崔玉超</t>
        </is>
      </c>
      <c r="F2" s="48" t="n">
        <v>13853478013</v>
      </c>
      <c r="G2" s="48" t="n">
        <v>13853478013</v>
      </c>
      <c r="H2" s="48" t="n"/>
      <c r="I2" s="48" t="inlineStr">
        <is>
          <t>吴柱臻</t>
        </is>
      </c>
      <c r="J2" s="49" t="inlineStr">
        <is>
          <t>制造商</t>
        </is>
      </c>
      <c r="K2" s="48" t="inlineStr">
        <is>
          <t>91371402MA3RMA7E33</t>
        </is>
      </c>
      <c r="L2" s="50" t="n">
        <v>0.13</v>
      </c>
      <c r="M2" s="48" t="inlineStr">
        <is>
          <t>压链机</t>
        </is>
      </c>
      <c r="N2" s="49" t="inlineStr">
        <is>
          <t>德州银行</t>
        </is>
      </c>
      <c r="O2" s="48" t="inlineStr">
        <is>
          <t>山东星工液压科技有限公司</t>
        </is>
      </c>
      <c r="P2" s="73" t="inlineStr">
        <is>
          <t>80901080101421015717</t>
        </is>
      </c>
      <c r="Q2" s="48" t="inlineStr">
        <is>
          <t>德州银行股份有限公司向阳支行。</t>
        </is>
      </c>
      <c r="R2" s="48" t="n">
        <v>13853478013</v>
      </c>
      <c r="S2" s="48" t="inlineStr">
        <is>
          <t>山东省德州市德城区黄河涯镇闫屯村北500米北2-2车间</t>
        </is>
      </c>
      <c r="T2" s="48" t="inlineStr">
        <is>
          <t>山东省德州市德城区黄河涯镇闫屯村北500米北2-2车间</t>
        </is>
      </c>
      <c r="U2" s="48" t="inlineStr">
        <is>
          <t>崔玉超</t>
        </is>
      </c>
      <c r="V2" s="48" t="inlineStr">
        <is>
          <t>崔玉超</t>
        </is>
      </c>
      <c r="W2" s="44" t="inlineStr">
        <is>
          <t>启用</t>
        </is>
      </c>
    </row>
    <row r="3" ht="25.05" customFormat="1" customHeight="1" s="45">
      <c r="A3" s="48" t="n"/>
      <c r="B3" s="45" t="n"/>
      <c r="C3" s="45" t="n"/>
      <c r="D3" s="45" t="n"/>
      <c r="E3" s="45" t="n"/>
      <c r="F3" s="45" t="n"/>
      <c r="G3" s="45" t="n"/>
      <c r="H3" s="45" t="n"/>
      <c r="P3" s="51" t="n"/>
    </row>
    <row r="4" ht="25.05" customFormat="1" customHeight="1" s="45">
      <c r="P4" s="51" t="n"/>
    </row>
    <row r="5" ht="25.05" customFormat="1" customHeight="1" s="45">
      <c r="P5" s="51" t="n"/>
    </row>
    <row r="6" ht="25.05" customFormat="1" customHeight="1" s="45">
      <c r="P6" s="51" t="n"/>
    </row>
    <row r="7" ht="25.05" customFormat="1" customHeight="1" s="45">
      <c r="P7" s="51" t="n"/>
    </row>
    <row r="8" ht="25.05" customFormat="1" customHeight="1" s="45">
      <c r="P8" s="51" t="n"/>
    </row>
  </sheetData>
  <autoFilter ref="A1:X7"/>
  <dataValidations count="1">
    <dataValidation sqref="A4:A499" showDropDown="0" showInputMessage="0" showErrorMessage="0" allowBlank="0" type="list">
      <formula1>"供应商,客户"</formula1>
    </dataValidation>
  </dataValidations>
  <pageMargins left="0.75" right="0.75" top="1" bottom="1" header="0.5" footer="0.5"/>
  <legacyDrawing xmlns:r="http://schemas.openxmlformats.org/officeDocument/2006/relationships" r:id="anysvml"/>
</worksheet>
</file>

<file path=xl/worksheets/sheet6.xml><?xml version="1.0" encoding="utf-8"?>
<worksheet xmlns="http://schemas.openxmlformats.org/spreadsheetml/2006/main">
  <sheetPr codeName="Sheet6">
    <tabColor rgb="FF5B9BD5"/>
    <outlinePr summaryBelow="1" summaryRight="1"/>
    <pageSetUpPr/>
  </sheetPr>
  <dimension ref="A1:V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6"/>
    <col width="16" customWidth="1" min="7" max="7"/>
    <col width="14" customWidth="1" min="8" max="22"/>
  </cols>
  <sheetData>
    <row r="1" ht="22.05" customHeight="1">
      <c r="A1" s="6" t="inlineStr">
        <is>
          <t>编号</t>
        </is>
      </c>
      <c r="B1" s="5" t="inlineStr">
        <is>
          <t>公司名称</t>
        </is>
      </c>
      <c r="C1" s="6" t="inlineStr">
        <is>
          <t>简称</t>
        </is>
      </c>
      <c r="D1" s="6" t="inlineStr">
        <is>
          <t>状态</t>
        </is>
      </c>
      <c r="E1" s="6" t="inlineStr">
        <is>
          <t>默认税率</t>
        </is>
      </c>
      <c r="F1" s="6" t="inlineStr">
        <is>
          <t>业务员</t>
        </is>
      </c>
      <c r="G1" s="6" t="inlineStr">
        <is>
          <t>纳税人识别号</t>
        </is>
      </c>
      <c r="H1" s="6" t="inlineStr">
        <is>
          <t>开票名称</t>
        </is>
      </c>
      <c r="I1" s="6" t="inlineStr">
        <is>
          <t>开户银行</t>
        </is>
      </c>
      <c r="J1" s="6" t="inlineStr">
        <is>
          <t>账户名称</t>
        </is>
      </c>
      <c r="K1" s="6" t="inlineStr">
        <is>
          <t>银行账号</t>
        </is>
      </c>
      <c r="L1" s="6" t="inlineStr">
        <is>
          <t>开户支行</t>
        </is>
      </c>
      <c r="M1" s="6" t="inlineStr">
        <is>
          <t>开票电话</t>
        </is>
      </c>
      <c r="N1" s="6" t="inlineStr">
        <is>
          <t>开票地址</t>
        </is>
      </c>
      <c r="O1" s="6" t="inlineStr">
        <is>
          <t>通讯地址</t>
        </is>
      </c>
      <c r="P1" s="6" t="inlineStr">
        <is>
          <t>邮箱</t>
        </is>
      </c>
      <c r="Q1" s="6" t="inlineStr">
        <is>
          <t>手机</t>
        </is>
      </c>
      <c r="R1" s="6" t="inlineStr">
        <is>
          <t>法人代表</t>
        </is>
      </c>
      <c r="S1" s="6" t="inlineStr">
        <is>
          <t>委托代理人</t>
        </is>
      </c>
      <c r="T1" s="6" t="inlineStr">
        <is>
          <t>联系人</t>
        </is>
      </c>
      <c r="U1" s="6" t="inlineStr">
        <is>
          <t>联系电话</t>
        </is>
      </c>
      <c r="V1" s="6" t="inlineStr">
        <is>
          <t>备注</t>
        </is>
      </c>
    </row>
  </sheetData>
  <autoFilter ref="A1:V1"/>
  <pageMargins left="0.75" right="0.75" top="1" bottom="1" header="0.5" footer="0.5"/>
  <legacyDrawing xmlns:r="http://schemas.openxmlformats.org/officeDocument/2006/relationships" r:id="anysvml"/>
</worksheet>
</file>

<file path=xl/worksheets/sheet7.xml><?xml version="1.0" encoding="utf-8"?>
<worksheet xmlns="http://schemas.openxmlformats.org/spreadsheetml/2006/main">
  <sheetPr codeName="Sheet7">
    <tabColor rgb="FF5B9BD5"/>
    <outlinePr summaryBelow="1" summaryRight="1"/>
    <pageSetUpPr/>
  </sheetPr>
  <dimension ref="A1:D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4"/>
  </cols>
  <sheetData>
    <row r="1" ht="22.05" customHeight="1">
      <c r="A1" s="5" t="inlineStr">
        <is>
          <t>编码</t>
        </is>
      </c>
      <c r="B1" s="5" t="inlineStr">
        <is>
          <t>名称</t>
        </is>
      </c>
      <c r="C1" s="6" t="inlineStr">
        <is>
          <t>账号</t>
        </is>
      </c>
      <c r="D1" s="6" t="inlineStr">
        <is>
          <t>状态</t>
        </is>
      </c>
    </row>
  </sheetData>
  <autoFilter ref="A1:D1"/>
  <pageMargins left="0.75" right="0.75" top="1" bottom="1" header="0.5" footer="0.5"/>
  <legacyDrawing xmlns:r="http://schemas.openxmlformats.org/officeDocument/2006/relationships" r:id="anysvml"/>
</worksheet>
</file>

<file path=xl/worksheets/sheet8.xml><?xml version="1.0" encoding="utf-8"?>
<worksheet xmlns="http://schemas.openxmlformats.org/spreadsheetml/2006/main">
  <sheetPr codeName="Sheet8">
    <tabColor rgb="FF5B9BD5"/>
    <outlinePr summaryBelow="1" summaryRight="1"/>
    <pageSetUpPr/>
  </sheetPr>
  <dimension ref="A1:D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4"/>
  </cols>
  <sheetData>
    <row r="1" ht="22.05" customHeight="1">
      <c r="A1" s="5" t="inlineStr">
        <is>
          <t>编码</t>
        </is>
      </c>
      <c r="B1" s="5" t="inlineStr">
        <is>
          <t>名称</t>
        </is>
      </c>
      <c r="C1" s="6" t="inlineStr">
        <is>
          <t>备注</t>
        </is>
      </c>
      <c r="D1" s="6" t="inlineStr">
        <is>
          <t>状态</t>
        </is>
      </c>
    </row>
  </sheetData>
  <autoFilter ref="A1:D1"/>
  <pageMargins left="0.75" right="0.75" top="1" bottom="1" header="0.5" footer="0.5"/>
  <legacyDrawing xmlns:r="http://schemas.openxmlformats.org/officeDocument/2006/relationships" r:id="anysvml"/>
</worksheet>
</file>

<file path=xl/worksheets/sheet9.xml><?xml version="1.0" encoding="utf-8"?>
<worksheet xmlns="http://schemas.openxmlformats.org/spreadsheetml/2006/main">
  <sheetPr codeName="Sheet9">
    <tabColor theme="5" tint="0.599993896298105"/>
    <outlinePr summaryBelow="1" summaryRight="1"/>
    <pageSetUpPr/>
  </sheetPr>
  <dimension ref="A1:V60"/>
  <sheetViews>
    <sheetView workbookViewId="0">
      <pane ySplit="1" topLeftCell="A2" activePane="bottomLeft" state="frozen"/>
      <selection activeCell="A1" sqref="A1"/>
      <selection pane="bottomLeft" activeCell="A2" sqref="$A2:$XFD2"/>
    </sheetView>
  </sheetViews>
  <sheetFormatPr baseColWidth="8" defaultColWidth="9" defaultRowHeight="13.5"/>
  <cols>
    <col width="4.55833333333333" customWidth="1" min="1" max="1"/>
    <col width="8.33333333333333" customWidth="1" min="2" max="2"/>
    <col width="12.9" customWidth="1" min="3" max="3"/>
    <col width="31" customWidth="1" style="35" min="4" max="4"/>
    <col width="19.5" customWidth="1" style="35" min="5" max="5"/>
    <col width="22.375" customWidth="1" style="35" min="6" max="6"/>
    <col width="23.1083333333333" customWidth="1" style="35" min="7" max="7"/>
    <col width="5" customWidth="1" style="35" min="8" max="8"/>
    <col width="9.225" customWidth="1" style="35" min="9" max="9"/>
    <col width="14" customWidth="1" min="10" max="11"/>
    <col hidden="1" width="14" customWidth="1" min="12" max="14"/>
    <col hidden="1" width="16" customWidth="1" min="15" max="15"/>
  </cols>
  <sheetData>
    <row r="1" ht="63" customHeight="1">
      <c r="A1" s="36" t="inlineStr">
        <is>
          <t>序号</t>
        </is>
      </c>
      <c r="B1" s="36" t="inlineStr">
        <is>
          <t>月份</t>
        </is>
      </c>
      <c r="C1" s="36" t="inlineStr">
        <is>
          <t>计划单号</t>
        </is>
      </c>
      <c r="D1" s="37" t="inlineStr">
        <is>
          <t>物料编号</t>
        </is>
      </c>
      <c r="E1" s="37" t="inlineStr">
        <is>
          <t>中文名称</t>
        </is>
      </c>
      <c r="F1" s="38" t="inlineStr">
        <is>
          <t>英文名称</t>
        </is>
      </c>
      <c r="G1" s="38" t="inlineStr">
        <is>
          <t>规格型号</t>
        </is>
      </c>
      <c r="H1" s="38" t="inlineStr">
        <is>
          <t>单位</t>
        </is>
      </c>
      <c r="I1" s="37" t="inlineStr">
        <is>
          <t>采购数量</t>
        </is>
      </c>
      <c r="J1" s="6" t="inlineStr">
        <is>
          <t>使用设备</t>
        </is>
      </c>
      <c r="K1" s="6" t="inlineStr">
        <is>
          <t>使用部门</t>
        </is>
      </c>
      <c r="L1" s="6" t="inlineStr">
        <is>
          <t>备注</t>
        </is>
      </c>
      <c r="M1" s="6" t="inlineStr">
        <is>
          <t>库存数量</t>
        </is>
      </c>
      <c r="N1" s="6" t="inlineStr">
        <is>
          <t>在途数量</t>
        </is>
      </c>
      <c r="O1" s="6" t="inlineStr">
        <is>
          <t>4个月消耗量</t>
        </is>
      </c>
      <c r="V1" s="39" t="inlineStr">
        <is>
          <t>A2</t>
        </is>
      </c>
    </row>
    <row r="2" ht="30" customHeight="1">
      <c r="A2" t="n">
        <v>4</v>
      </c>
      <c r="B2" t="n">
        <v>202512</v>
      </c>
      <c r="C2" t="inlineStr">
        <is>
          <t>MAZ-NWP-25006</t>
        </is>
      </c>
      <c r="D2" s="35" t="inlineStr">
        <is>
          <t>MAZ-NWP-2505</t>
        </is>
      </c>
      <c r="E2" s="35" t="inlineStr">
        <is>
          <t>重变套装</t>
        </is>
      </c>
      <c r="F2" s="40" t="inlineStr">
        <is>
          <t>Chongqing Transformer Set</t>
        </is>
      </c>
      <c r="G2" s="35" t="inlineStr">
        <is>
          <t>若干</t>
        </is>
      </c>
      <c r="H2" s="35" t="inlineStr">
        <is>
          <t>件</t>
        </is>
      </c>
      <c r="I2" s="35" t="n">
        <v>10</v>
      </c>
      <c r="K2" t="inlineStr">
        <is>
          <t>MAZ</t>
        </is>
      </c>
    </row>
    <row r="3">
      <c r="A3" s="41" t="n"/>
      <c r="B3" s="42" t="n"/>
      <c r="C3" s="42" t="n"/>
      <c r="D3" s="42" t="n"/>
      <c r="E3" s="42" t="n"/>
      <c r="F3" s="42" t="n"/>
      <c r="G3" s="42" t="n"/>
      <c r="H3" s="42" t="n"/>
      <c r="I3" s="43" t="n"/>
    </row>
    <row r="4">
      <c r="A4" s="41" t="n"/>
      <c r="B4" s="42" t="n"/>
      <c r="C4" s="42" t="n"/>
      <c r="D4" s="42" t="n"/>
      <c r="E4" s="42" t="n"/>
      <c r="F4" s="42" t="n"/>
      <c r="G4" s="42" t="n"/>
      <c r="H4" s="42" t="n"/>
      <c r="I4" s="43" t="n"/>
    </row>
    <row r="5">
      <c r="A5" s="41" t="n"/>
      <c r="B5" s="42" t="n"/>
      <c r="C5" s="42" t="n"/>
      <c r="D5" s="42" t="n"/>
      <c r="E5" s="42" t="n"/>
      <c r="F5" s="42" t="n"/>
      <c r="G5" s="42" t="n"/>
      <c r="H5" s="42" t="n"/>
      <c r="I5" s="43" t="n"/>
    </row>
    <row r="6">
      <c r="A6" s="41" t="n"/>
      <c r="B6" s="42" t="n"/>
      <c r="C6" s="42" t="n"/>
      <c r="D6" s="42" t="n"/>
      <c r="E6" s="42" t="n"/>
      <c r="F6" s="42" t="n"/>
      <c r="G6" s="42" t="n"/>
      <c r="H6" s="42" t="n"/>
      <c r="I6" s="43" t="n"/>
    </row>
    <row r="7">
      <c r="A7" s="41" t="n"/>
      <c r="B7" s="42" t="n"/>
      <c r="C7" s="42" t="n"/>
      <c r="D7" s="42" t="n"/>
      <c r="E7" s="42" t="n"/>
      <c r="F7" s="42" t="n"/>
      <c r="G7" s="42" t="n"/>
      <c r="H7" s="42" t="n"/>
      <c r="I7" s="43" t="n"/>
    </row>
    <row r="8">
      <c r="A8" s="41" t="n"/>
      <c r="B8" s="42" t="n"/>
      <c r="C8" s="42" t="n"/>
      <c r="D8" s="42" t="n"/>
      <c r="E8" s="42" t="n"/>
      <c r="F8" s="42" t="n"/>
      <c r="G8" s="42" t="n"/>
      <c r="H8" s="42" t="n"/>
      <c r="I8" s="43" t="n"/>
    </row>
    <row r="9">
      <c r="A9" s="41" t="n"/>
      <c r="B9" s="42" t="n"/>
      <c r="C9" s="42" t="n"/>
      <c r="D9" s="42" t="n"/>
      <c r="E9" s="42" t="n"/>
      <c r="F9" s="42" t="n"/>
      <c r="G9" s="42" t="n"/>
      <c r="H9" s="42" t="n"/>
      <c r="I9" s="43" t="n"/>
    </row>
    <row r="10">
      <c r="A10" s="41" t="n"/>
      <c r="B10" s="42" t="n"/>
      <c r="C10" s="42" t="n"/>
      <c r="D10" s="42" t="n"/>
      <c r="E10" s="42" t="n"/>
      <c r="F10" s="42" t="n"/>
      <c r="G10" s="42" t="n"/>
      <c r="H10" s="42" t="n"/>
      <c r="I10" s="43" t="n"/>
    </row>
    <row r="11">
      <c r="A11" s="41" t="n"/>
      <c r="B11" s="42" t="n"/>
      <c r="C11" s="42" t="n"/>
      <c r="D11" s="42" t="n"/>
      <c r="E11" s="42" t="n"/>
      <c r="F11" s="42" t="n"/>
      <c r="G11" s="42" t="n"/>
      <c r="H11" s="42" t="n"/>
      <c r="I11" s="43" t="n"/>
    </row>
    <row r="12">
      <c r="A12" s="41" t="n"/>
      <c r="B12" s="42" t="n"/>
      <c r="C12" s="42" t="n"/>
      <c r="D12" s="42" t="n"/>
      <c r="E12" s="42" t="n"/>
      <c r="F12" s="42" t="n"/>
      <c r="G12" s="42" t="n"/>
      <c r="H12" s="42" t="n"/>
      <c r="I12" s="43" t="n"/>
    </row>
    <row r="13">
      <c r="A13" s="41" t="n"/>
      <c r="B13" s="42" t="n"/>
      <c r="C13" s="42" t="n"/>
      <c r="D13" s="42" t="n"/>
      <c r="E13" s="42" t="n"/>
      <c r="F13" s="42" t="n"/>
      <c r="G13" s="42" t="n"/>
      <c r="H13" s="42" t="n"/>
      <c r="I13" s="43" t="n"/>
    </row>
    <row r="14">
      <c r="A14" s="41" t="n"/>
      <c r="B14" s="42" t="n"/>
      <c r="C14" s="42" t="n"/>
      <c r="D14" s="42" t="n"/>
      <c r="E14" s="42" t="n"/>
      <c r="F14" s="42" t="n"/>
      <c r="G14" s="42" t="n"/>
      <c r="H14" s="42" t="n"/>
      <c r="I14" s="43" t="n"/>
    </row>
    <row r="15">
      <c r="A15" s="41" t="n"/>
      <c r="B15" s="42" t="n"/>
      <c r="C15" s="42" t="n"/>
      <c r="D15" s="42" t="n"/>
      <c r="E15" s="42" t="n"/>
      <c r="F15" s="42" t="n"/>
      <c r="G15" s="42" t="n"/>
      <c r="H15" s="42" t="n"/>
      <c r="I15" s="43" t="n"/>
    </row>
    <row r="16">
      <c r="A16" s="41" t="n"/>
      <c r="B16" s="42" t="n"/>
      <c r="C16" s="42" t="n"/>
      <c r="D16" s="42" t="n"/>
      <c r="E16" s="42" t="n"/>
      <c r="F16" s="42" t="n"/>
      <c r="G16" s="42" t="n"/>
      <c r="H16" s="42" t="n"/>
      <c r="I16" s="43" t="n"/>
    </row>
    <row r="17">
      <c r="A17" s="41" t="n"/>
      <c r="B17" s="42" t="n"/>
      <c r="C17" s="42" t="n"/>
      <c r="D17" s="42" t="n"/>
      <c r="E17" s="42" t="n"/>
      <c r="F17" s="42" t="n"/>
      <c r="G17" s="42" t="n"/>
      <c r="H17" s="42" t="n"/>
      <c r="I17" s="43" t="n"/>
    </row>
    <row r="18">
      <c r="A18" s="41" t="n"/>
      <c r="B18" s="42" t="n"/>
      <c r="C18" s="42" t="n"/>
      <c r="D18" s="42" t="n"/>
      <c r="E18" s="42" t="n"/>
      <c r="F18" s="42" t="n"/>
      <c r="G18" s="42" t="n"/>
      <c r="H18" s="42" t="n"/>
      <c r="I18" s="43" t="n"/>
    </row>
    <row r="19">
      <c r="A19" s="41" t="n"/>
      <c r="B19" s="42" t="n"/>
      <c r="C19" s="42" t="n"/>
      <c r="D19" s="42" t="n"/>
      <c r="E19" s="42" t="n"/>
      <c r="F19" s="42" t="n"/>
      <c r="G19" s="42" t="n"/>
      <c r="H19" s="42" t="n"/>
      <c r="I19" s="43" t="n"/>
    </row>
    <row r="20">
      <c r="A20" s="41" t="n"/>
      <c r="B20" s="42" t="n"/>
      <c r="C20" s="42" t="n"/>
      <c r="D20" s="42" t="n"/>
      <c r="E20" s="42" t="n"/>
      <c r="F20" s="42" t="n"/>
      <c r="G20" s="42" t="n"/>
      <c r="H20" s="42" t="n"/>
      <c r="I20" s="43" t="n"/>
    </row>
    <row r="21">
      <c r="A21" s="41" t="n"/>
      <c r="B21" s="42" t="n"/>
      <c r="C21" s="42" t="n"/>
      <c r="D21" s="42" t="n"/>
      <c r="E21" s="42" t="n"/>
      <c r="F21" s="42" t="n"/>
      <c r="G21" s="42" t="n"/>
      <c r="H21" s="42" t="n"/>
      <c r="I21" s="43" t="n"/>
    </row>
    <row r="22">
      <c r="A22" s="41" t="n"/>
      <c r="B22" s="42" t="n"/>
      <c r="C22" s="42" t="n"/>
      <c r="D22" s="42" t="n"/>
      <c r="E22" s="42" t="n"/>
      <c r="F22" s="42" t="n"/>
      <c r="G22" s="42" t="n"/>
      <c r="H22" s="42" t="n"/>
      <c r="I22" s="43" t="n"/>
    </row>
    <row r="23">
      <c r="A23" s="41" t="n"/>
      <c r="B23" s="42" t="n"/>
      <c r="C23" s="42" t="n"/>
      <c r="D23" s="42" t="n"/>
      <c r="E23" s="42" t="n"/>
      <c r="F23" s="42" t="n"/>
      <c r="G23" s="42" t="n"/>
      <c r="H23" s="42" t="n"/>
      <c r="I23" s="43" t="n"/>
    </row>
    <row r="24">
      <c r="A24" s="41" t="n"/>
      <c r="B24" s="42" t="n"/>
      <c r="C24" s="42" t="n"/>
      <c r="D24" s="42" t="n"/>
      <c r="E24" s="42" t="n"/>
      <c r="F24" s="42" t="n"/>
      <c r="G24" s="42" t="n"/>
      <c r="H24" s="42" t="n"/>
      <c r="I24" s="43" t="n"/>
    </row>
    <row r="25">
      <c r="A25" s="41" t="n"/>
      <c r="B25" s="42" t="n"/>
      <c r="C25" s="42" t="n"/>
      <c r="D25" s="42" t="n"/>
      <c r="E25" s="42" t="n"/>
      <c r="F25" s="42" t="n"/>
      <c r="G25" s="42" t="n"/>
      <c r="H25" s="42" t="n"/>
      <c r="I25" s="43" t="n"/>
    </row>
    <row r="26">
      <c r="A26" s="41" t="n"/>
      <c r="B26" s="42" t="n"/>
      <c r="C26" s="42" t="n"/>
      <c r="D26" s="42" t="n"/>
      <c r="E26" s="42" t="n"/>
      <c r="F26" s="42" t="n"/>
      <c r="G26" s="42" t="n"/>
      <c r="H26" s="42" t="n"/>
      <c r="I26" s="43" t="n"/>
    </row>
    <row r="27">
      <c r="A27" s="41" t="n"/>
      <c r="B27" s="42" t="n"/>
      <c r="C27" s="42" t="n"/>
      <c r="D27" s="42" t="n"/>
      <c r="E27" s="42" t="n"/>
      <c r="F27" s="42" t="n"/>
      <c r="G27" s="42" t="n"/>
      <c r="H27" s="42" t="n"/>
      <c r="I27" s="43" t="n"/>
    </row>
    <row r="28">
      <c r="A28" s="41" t="n"/>
      <c r="B28" s="42" t="n"/>
      <c r="C28" s="42" t="n"/>
      <c r="D28" s="42" t="n"/>
      <c r="E28" s="42" t="n"/>
      <c r="F28" s="42" t="n"/>
      <c r="G28" s="42" t="n"/>
      <c r="H28" s="42" t="n"/>
      <c r="I28" s="43" t="n"/>
    </row>
    <row r="29">
      <c r="A29" s="41" t="n"/>
      <c r="B29" s="42" t="n"/>
      <c r="C29" s="42" t="n"/>
      <c r="D29" s="42" t="n"/>
      <c r="E29" s="42" t="n"/>
      <c r="F29" s="42" t="n"/>
      <c r="G29" s="42" t="n"/>
      <c r="H29" s="42" t="n"/>
      <c r="I29" s="43" t="n"/>
    </row>
    <row r="30">
      <c r="A30" s="41" t="n"/>
      <c r="B30" s="42" t="n"/>
      <c r="C30" s="42" t="n"/>
      <c r="D30" s="42" t="n"/>
      <c r="E30" s="42" t="n"/>
      <c r="F30" s="42" t="n"/>
      <c r="G30" s="42" t="n"/>
      <c r="H30" s="42" t="n"/>
      <c r="I30" s="43" t="n"/>
    </row>
    <row r="31">
      <c r="A31" s="41" t="n"/>
      <c r="B31" s="42" t="n"/>
      <c r="C31" s="42" t="n"/>
      <c r="D31" s="42" t="n"/>
      <c r="E31" s="42" t="n"/>
      <c r="F31" s="42" t="n"/>
      <c r="G31" s="42" t="n"/>
      <c r="H31" s="42" t="n"/>
      <c r="I31" s="43" t="n"/>
    </row>
    <row r="32">
      <c r="A32" s="41" t="n"/>
      <c r="B32" s="42" t="n"/>
      <c r="C32" s="42" t="n"/>
      <c r="D32" s="42" t="n"/>
      <c r="E32" s="42" t="n"/>
      <c r="F32" s="42" t="n"/>
      <c r="G32" s="42" t="n"/>
      <c r="H32" s="42" t="n"/>
      <c r="I32" s="43" t="n"/>
    </row>
    <row r="33">
      <c r="A33" s="41" t="n"/>
      <c r="B33" s="42" t="n"/>
      <c r="C33" s="42" t="n"/>
      <c r="D33" s="42" t="n"/>
      <c r="E33" s="42" t="n"/>
      <c r="F33" s="42" t="n"/>
      <c r="G33" s="42" t="n"/>
      <c r="H33" s="42" t="n"/>
      <c r="I33" s="43" t="n"/>
    </row>
    <row r="34">
      <c r="A34" s="41" t="n"/>
      <c r="B34" s="42" t="n"/>
      <c r="C34" s="42" t="n"/>
      <c r="D34" s="42" t="n"/>
      <c r="E34" s="42" t="n"/>
      <c r="F34" s="42" t="n"/>
      <c r="G34" s="42" t="n"/>
      <c r="H34" s="42" t="n"/>
      <c r="I34" s="43" t="n"/>
    </row>
    <row r="35">
      <c r="A35" s="41" t="n"/>
      <c r="B35" s="42" t="n"/>
      <c r="C35" s="42" t="n"/>
      <c r="D35" s="42" t="n"/>
      <c r="E35" s="42" t="n"/>
      <c r="F35" s="42" t="n"/>
      <c r="G35" s="42" t="n"/>
      <c r="H35" s="42" t="n"/>
      <c r="I35" s="43" t="n"/>
    </row>
    <row r="36">
      <c r="A36" s="41" t="n"/>
      <c r="B36" s="42" t="n"/>
      <c r="C36" s="42" t="n"/>
      <c r="D36" s="42" t="n"/>
      <c r="E36" s="42" t="n"/>
      <c r="F36" s="42" t="n"/>
      <c r="G36" s="42" t="n"/>
      <c r="H36" s="42" t="n"/>
      <c r="I36" s="43" t="n"/>
    </row>
    <row r="37">
      <c r="A37" s="41" t="n"/>
      <c r="B37" s="42" t="n"/>
      <c r="C37" s="42" t="n"/>
      <c r="D37" s="42" t="n"/>
      <c r="E37" s="42" t="n"/>
      <c r="F37" s="42" t="n"/>
      <c r="G37" s="42" t="n"/>
      <c r="H37" s="42" t="n"/>
      <c r="I37" s="43" t="n"/>
    </row>
    <row r="38">
      <c r="A38" s="41" t="n"/>
      <c r="B38" s="42" t="n"/>
      <c r="C38" s="42" t="n"/>
      <c r="D38" s="42" t="n"/>
      <c r="E38" s="42" t="n"/>
      <c r="F38" s="42" t="n"/>
      <c r="G38" s="42" t="n"/>
      <c r="H38" s="42" t="n"/>
      <c r="I38" s="43" t="n"/>
    </row>
    <row r="39">
      <c r="A39" s="41" t="n"/>
      <c r="B39" s="42" t="n"/>
      <c r="C39" s="42" t="n"/>
      <c r="D39" s="42" t="n"/>
      <c r="E39" s="42" t="n"/>
      <c r="F39" s="42" t="n"/>
      <c r="G39" s="42" t="n"/>
      <c r="H39" s="42" t="n"/>
      <c r="I39" s="43" t="n"/>
    </row>
    <row r="40">
      <c r="A40" s="41" t="n"/>
      <c r="B40" s="42" t="n"/>
      <c r="C40" s="42" t="n"/>
      <c r="D40" s="42" t="n"/>
      <c r="E40" s="42" t="n"/>
      <c r="F40" s="42" t="n"/>
      <c r="G40" s="42" t="n"/>
      <c r="H40" s="42" t="n"/>
      <c r="I40" s="43" t="n"/>
    </row>
    <row r="41">
      <c r="A41" s="41" t="n"/>
      <c r="B41" s="42" t="n"/>
      <c r="C41" s="42" t="n"/>
      <c r="D41" s="42" t="n"/>
      <c r="E41" s="42" t="n"/>
      <c r="F41" s="42" t="n"/>
      <c r="G41" s="42" t="n"/>
      <c r="H41" s="42" t="n"/>
      <c r="I41" s="43" t="n"/>
    </row>
    <row r="42">
      <c r="A42" s="41" t="n"/>
      <c r="B42" s="42" t="n"/>
      <c r="C42" s="42" t="n"/>
      <c r="D42" s="42" t="n"/>
      <c r="E42" s="42" t="n"/>
      <c r="F42" s="42" t="n"/>
      <c r="G42" s="42" t="n"/>
      <c r="H42" s="42" t="n"/>
      <c r="I42" s="43" t="n"/>
    </row>
    <row r="43">
      <c r="A43" s="41" t="n"/>
      <c r="B43" s="42" t="n"/>
      <c r="C43" s="42" t="n"/>
      <c r="D43" s="42" t="n"/>
      <c r="E43" s="42" t="n"/>
      <c r="F43" s="42" t="n"/>
      <c r="G43" s="42" t="n"/>
      <c r="H43" s="42" t="n"/>
      <c r="I43" s="43" t="n"/>
    </row>
    <row r="44">
      <c r="A44" s="41" t="n"/>
      <c r="B44" s="42" t="n"/>
      <c r="C44" s="42" t="n"/>
      <c r="D44" s="42" t="n"/>
      <c r="E44" s="42" t="n"/>
      <c r="F44" s="42" t="n"/>
      <c r="G44" s="42" t="n"/>
      <c r="H44" s="42" t="n"/>
      <c r="I44" s="43" t="n"/>
    </row>
    <row r="45">
      <c r="A45" s="41" t="n"/>
      <c r="B45" s="42" t="n"/>
      <c r="C45" s="42" t="n"/>
      <c r="D45" s="42" t="n"/>
      <c r="E45" s="42" t="n"/>
      <c r="F45" s="42" t="n"/>
      <c r="G45" s="42" t="n"/>
      <c r="H45" s="42" t="n"/>
      <c r="I45" s="43" t="n"/>
    </row>
    <row r="46">
      <c r="A46" s="41" t="n"/>
      <c r="B46" s="42" t="n"/>
      <c r="C46" s="42" t="n"/>
      <c r="D46" s="42" t="n"/>
      <c r="E46" s="42" t="n"/>
      <c r="F46" s="42" t="n"/>
      <c r="G46" s="42" t="n"/>
      <c r="H46" s="42" t="n"/>
      <c r="I46" s="43" t="n"/>
    </row>
    <row r="47">
      <c r="A47" s="41" t="n"/>
      <c r="B47" s="42" t="n"/>
      <c r="C47" s="42" t="n"/>
      <c r="D47" s="42" t="n"/>
      <c r="E47" s="42" t="n"/>
      <c r="F47" s="42" t="n"/>
      <c r="G47" s="42" t="n"/>
      <c r="H47" s="42" t="n"/>
      <c r="I47" s="43" t="n"/>
    </row>
    <row r="48">
      <c r="A48" s="41" t="n"/>
      <c r="B48" s="42" t="n"/>
      <c r="C48" s="42" t="n"/>
      <c r="D48" s="42" t="n"/>
      <c r="E48" s="42" t="n"/>
      <c r="F48" s="42" t="n"/>
      <c r="G48" s="42" t="n"/>
      <c r="H48" s="42" t="n"/>
      <c r="I48" s="43" t="n"/>
    </row>
    <row r="49">
      <c r="A49" s="41" t="n"/>
      <c r="B49" s="42" t="n"/>
      <c r="C49" s="42" t="n"/>
      <c r="D49" s="42" t="n"/>
      <c r="E49" s="42" t="n"/>
      <c r="F49" s="42" t="n"/>
      <c r="G49" s="42" t="n"/>
      <c r="H49" s="42" t="n"/>
      <c r="I49" s="43" t="n"/>
    </row>
    <row r="50">
      <c r="A50" s="41" t="n"/>
      <c r="B50" s="42" t="n"/>
      <c r="C50" s="42" t="n"/>
      <c r="D50" s="42" t="n"/>
      <c r="E50" s="42" t="n"/>
      <c r="F50" s="42" t="n"/>
      <c r="G50" s="42" t="n"/>
      <c r="H50" s="42" t="n"/>
      <c r="I50" s="43" t="n"/>
    </row>
    <row r="51">
      <c r="A51" s="41" t="n"/>
      <c r="B51" s="42" t="n"/>
      <c r="C51" s="42" t="n"/>
      <c r="D51" s="42" t="n"/>
      <c r="E51" s="42" t="n"/>
      <c r="F51" s="42" t="n"/>
      <c r="G51" s="42" t="n"/>
      <c r="H51" s="42" t="n"/>
      <c r="I51" s="43" t="n"/>
    </row>
    <row r="52">
      <c r="A52" s="41" t="n"/>
      <c r="B52" s="42" t="n"/>
      <c r="C52" s="42" t="n"/>
      <c r="D52" s="42" t="n"/>
      <c r="E52" s="42" t="n"/>
      <c r="F52" s="42" t="n"/>
      <c r="G52" s="42" t="n"/>
      <c r="H52" s="42" t="n"/>
      <c r="I52" s="43" t="n"/>
    </row>
    <row r="53">
      <c r="A53" s="41" t="n"/>
      <c r="B53" s="42" t="n"/>
      <c r="C53" s="42" t="n"/>
      <c r="D53" s="42" t="n"/>
      <c r="E53" s="42" t="n"/>
      <c r="F53" s="42" t="n"/>
      <c r="G53" s="42" t="n"/>
      <c r="H53" s="42" t="n"/>
      <c r="I53" s="43" t="n"/>
    </row>
    <row r="54">
      <c r="A54" s="41" t="n"/>
      <c r="B54" s="42" t="n"/>
      <c r="C54" s="42" t="n"/>
      <c r="D54" s="42" t="n"/>
      <c r="E54" s="42" t="n"/>
      <c r="F54" s="42" t="n"/>
      <c r="G54" s="42" t="n"/>
      <c r="H54" s="42" t="n"/>
      <c r="I54" s="43" t="n"/>
    </row>
    <row r="55">
      <c r="A55" s="41" t="n"/>
      <c r="B55" s="42" t="n"/>
      <c r="C55" s="42" t="n"/>
      <c r="D55" s="42" t="n"/>
      <c r="E55" s="42" t="n"/>
      <c r="F55" s="42" t="n"/>
      <c r="G55" s="42" t="n"/>
      <c r="H55" s="42" t="n"/>
      <c r="I55" s="43" t="n"/>
    </row>
    <row r="56">
      <c r="A56" s="41" t="n"/>
      <c r="B56" s="42" t="n"/>
      <c r="C56" s="42" t="n"/>
      <c r="D56" s="42" t="n"/>
      <c r="E56" s="42" t="n"/>
      <c r="F56" s="42" t="n"/>
      <c r="G56" s="42" t="n"/>
      <c r="H56" s="42" t="n"/>
      <c r="I56" s="43" t="n"/>
    </row>
    <row r="57">
      <c r="A57" s="41" t="n"/>
      <c r="B57" s="42" t="n"/>
      <c r="C57" s="42" t="n"/>
      <c r="D57" s="42" t="n"/>
      <c r="E57" s="42" t="n"/>
      <c r="F57" s="42" t="n"/>
      <c r="G57" s="42" t="n"/>
      <c r="H57" s="42" t="n"/>
      <c r="I57" s="43" t="n"/>
    </row>
    <row r="58">
      <c r="A58" s="41" t="n"/>
      <c r="B58" s="42" t="n"/>
      <c r="C58" s="42" t="n"/>
      <c r="D58" s="42" t="n"/>
      <c r="E58" s="42" t="n"/>
      <c r="F58" s="42" t="n"/>
      <c r="G58" s="42" t="n"/>
      <c r="H58" s="42" t="n"/>
      <c r="I58" s="43" t="n"/>
    </row>
    <row r="59">
      <c r="A59" s="41" t="n"/>
      <c r="B59" s="42" t="n"/>
      <c r="C59" s="42" t="n"/>
      <c r="D59" s="42" t="n"/>
      <c r="E59" s="42" t="n"/>
      <c r="F59" s="42" t="n"/>
      <c r="G59" s="42" t="n"/>
      <c r="H59" s="42" t="n"/>
      <c r="I59" s="43" t="n"/>
    </row>
    <row r="60">
      <c r="A60" s="41" t="n"/>
      <c r="B60" s="42" t="n"/>
      <c r="C60" s="42" t="n"/>
      <c r="D60" s="42" t="n"/>
      <c r="E60" s="42" t="n"/>
      <c r="F60" s="42" t="n"/>
      <c r="G60" s="42" t="n"/>
      <c r="H60" s="42" t="n"/>
      <c r="I60" s="43" t="n"/>
    </row>
  </sheetData>
  <autoFilter ref="D1:O60"/>
  <pageMargins left="0.75" right="0.75" top="1" bottom="1" header="0.5" footer="0.5"/>
  <legacyDrawing xmlns:r="http://schemas.openxmlformats.org/officeDocument/2006/relationships" r:id="anysvml"/>
</worksheet>
</file>

<file path=xl/worksheets/sheet10.xml><?xml version="1.0" encoding="utf-8"?>
<worksheet xmlns="http://schemas.openxmlformats.org/spreadsheetml/2006/main">
  <sheetPr codeName="Sheet10">
    <tabColor rgb="FF5B9BD5"/>
    <outlinePr summaryBelow="1" summaryRight="1"/>
    <pageSetUpPr/>
  </sheetPr>
  <dimension ref="A1:F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6"/>
  </cols>
  <sheetData>
    <row r="1" ht="22.05" customHeight="1">
      <c r="A1" s="5" t="inlineStr">
        <is>
          <t>物料编号</t>
        </is>
      </c>
      <c r="B1" s="5" t="inlineStr">
        <is>
          <t>名称</t>
        </is>
      </c>
      <c r="C1" s="6" t="inlineStr">
        <is>
          <t>规格</t>
        </is>
      </c>
      <c r="D1" s="5" t="inlineStr">
        <is>
          <t>单位</t>
        </is>
      </c>
      <c r="E1" s="6" t="inlineStr">
        <is>
          <t>分类编码</t>
        </is>
      </c>
      <c r="F1" s="6" t="inlineStr">
        <is>
          <t>含税单价</t>
        </is>
      </c>
    </row>
  </sheetData>
  <autoFilter ref="A1:F1"/>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11">
    <tabColor rgb="FF5B9BD5"/>
    <outlinePr summaryBelow="1" summaryRight="1"/>
    <pageSetUpPr/>
  </sheetPr>
  <dimension ref="A1:G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7"/>
  </cols>
  <sheetData>
    <row r="1" ht="22.05" customHeight="1">
      <c r="A1" s="6" t="inlineStr">
        <is>
          <t>订单编号</t>
        </is>
      </c>
      <c r="B1" s="5" t="inlineStr">
        <is>
          <t>源合同编号</t>
        </is>
      </c>
      <c r="C1" s="6" t="inlineStr">
        <is>
          <t>单据日期</t>
        </is>
      </c>
      <c r="D1" s="6" t="inlineStr">
        <is>
          <t>备注</t>
        </is>
      </c>
      <c r="E1" s="5" t="inlineStr">
        <is>
          <t>物料编号</t>
        </is>
      </c>
      <c r="F1" s="5" t="inlineStr">
        <is>
          <t>数量</t>
        </is>
      </c>
      <c r="G1" s="5" t="inlineStr">
        <is>
          <t>含税单价</t>
        </is>
      </c>
    </row>
  </sheetData>
  <autoFilter ref="A1:G1"/>
  <pageMargins left="0.75" right="0.75" top="1" bottom="1" header="0.5" footer="0.5"/>
  <legacyDrawing xmlns:r="http://schemas.openxmlformats.org/officeDocument/2006/relationships" r:id="anysvml"/>
</worksheet>
</file>

<file path=xl/worksheets/sheet12.xml><?xml version="1.0" encoding="utf-8"?>
<worksheet xmlns="http://schemas.openxmlformats.org/spreadsheetml/2006/main">
  <sheetPr codeName="Sheet12">
    <tabColor rgb="FF5B9BD5"/>
    <outlinePr summaryBelow="1" summaryRight="1"/>
    <pageSetUpPr/>
  </sheetPr>
  <dimension ref="A1:G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7"/>
  </cols>
  <sheetData>
    <row r="1" ht="22.05" customHeight="1">
      <c r="A1" s="6" t="inlineStr">
        <is>
          <t>订单编号</t>
        </is>
      </c>
      <c r="B1" s="5" t="inlineStr">
        <is>
          <t>源合同编号</t>
        </is>
      </c>
      <c r="C1" s="6" t="inlineStr">
        <is>
          <t>单据日期</t>
        </is>
      </c>
      <c r="D1" s="6" t="inlineStr">
        <is>
          <t>备注</t>
        </is>
      </c>
      <c r="E1" s="5" t="inlineStr">
        <is>
          <t>物料编号</t>
        </is>
      </c>
      <c r="F1" s="5" t="inlineStr">
        <is>
          <t>数量</t>
        </is>
      </c>
      <c r="G1" s="5" t="inlineStr">
        <is>
          <t>含税单价</t>
        </is>
      </c>
    </row>
  </sheetData>
  <autoFilter ref="A1:G1"/>
  <pageMargins left="0.75" right="0.75" top="1" bottom="1" header="0.5" footer="0.5"/>
  <legacyDrawing xmlns:r="http://schemas.openxmlformats.org/officeDocument/2006/relationships" r:id="anysvml"/>
</worksheet>
</file>

<file path=xl/worksheets/sheet13.xml><?xml version="1.0" encoding="utf-8"?>
<worksheet xmlns="http://schemas.openxmlformats.org/spreadsheetml/2006/main">
  <sheetPr codeName="Sheet13">
    <tabColor rgb="FF5B9BD5"/>
    <outlinePr summaryBelow="1" summaryRight="1"/>
    <pageSetUpPr/>
  </sheetPr>
  <dimension ref="A1:N5"/>
  <sheetViews>
    <sheetView workbookViewId="0">
      <pane ySplit="1" topLeftCell="A2" activePane="bottomLeft" state="frozen"/>
      <selection activeCell="A1" sqref="A1"/>
      <selection pane="bottomLeft" activeCell="L8" sqref="L8"/>
    </sheetView>
  </sheetViews>
  <sheetFormatPr baseColWidth="8" defaultColWidth="9" defaultRowHeight="13.5" outlineLevelRow="4"/>
  <cols>
    <col width="14" customWidth="1" min="1" max="14"/>
  </cols>
  <sheetData>
    <row r="1" ht="68" customHeight="1">
      <c r="A1" s="6" t="inlineStr">
        <is>
          <t>单据编号</t>
        </is>
      </c>
      <c r="B1" s="5" t="inlineStr">
        <is>
          <t>发票号码</t>
        </is>
      </c>
      <c r="C1" s="6" t="inlineStr">
        <is>
          <t>发票日期</t>
        </is>
      </c>
      <c r="D1" s="6" t="inlineStr">
        <is>
          <t>发票类型</t>
        </is>
      </c>
      <c r="E1" s="6" t="inlineStr">
        <is>
          <t>客商编码</t>
        </is>
      </c>
      <c r="F1" s="5" t="inlineStr">
        <is>
          <t>合同编号</t>
        </is>
      </c>
      <c r="G1" s="6" t="inlineStr">
        <is>
          <t>不含税金额</t>
        </is>
      </c>
      <c r="H1" s="6" t="inlineStr">
        <is>
          <t>税额</t>
        </is>
      </c>
      <c r="I1" s="6" t="inlineStr">
        <is>
          <t>价税合计</t>
        </is>
      </c>
      <c r="J1" s="6" t="inlineStr">
        <is>
          <t>备注</t>
        </is>
      </c>
      <c r="K1" s="5" t="inlineStr">
        <is>
          <t>物料编号</t>
        </is>
      </c>
      <c r="L1" s="5" t="inlineStr">
        <is>
          <t>数量</t>
        </is>
      </c>
      <c r="M1" s="6" t="inlineStr">
        <is>
          <t>含税单价</t>
        </is>
      </c>
      <c r="N1" s="6" t="inlineStr">
        <is>
          <t>税率</t>
        </is>
      </c>
    </row>
    <row r="2" ht="56.25" customHeight="1">
      <c r="A2" s="21" t="inlineStr">
        <is>
          <t>JX-20261014-003</t>
        </is>
      </c>
      <c r="B2" s="31" t="inlineStr">
        <is>
          <t>26532000001348857091-2</t>
        </is>
      </c>
      <c r="C2" t="inlineStr">
        <is>
          <t>2026-08-11</t>
        </is>
      </c>
      <c r="D2" s="32" t="inlineStr">
        <is>
          <t>增值税专用发票</t>
        </is>
      </c>
      <c r="E2" t="inlineStr">
        <is>
          <t>Supplier_084</t>
        </is>
      </c>
      <c r="F2" s="19" t="inlineStr">
        <is>
          <t>BMGG-MAZ-NWP-25003-补01</t>
        </is>
      </c>
      <c r="G2" t="n">
        <v>6392.04</v>
      </c>
      <c r="H2" t="n">
        <v>830.96</v>
      </c>
      <c r="I2" s="33" t="n">
        <v>7223</v>
      </c>
      <c r="K2" s="34" t="inlineStr">
        <is>
          <t>MAZ-NWP-25003-2</t>
        </is>
      </c>
      <c r="L2" t="n">
        <v>0.04</v>
      </c>
    </row>
    <row r="3" ht="56.25" customHeight="1">
      <c r="A3" s="21" t="inlineStr">
        <is>
          <t>JX-20261014-003</t>
        </is>
      </c>
      <c r="B3" t="inlineStr">
        <is>
          <t>26532000001347729586</t>
        </is>
      </c>
      <c r="C3" t="inlineStr">
        <is>
          <t>2026-08-11</t>
        </is>
      </c>
      <c r="D3" s="32" t="inlineStr">
        <is>
          <t>增值税专用发票</t>
        </is>
      </c>
      <c r="E3" t="inlineStr">
        <is>
          <t>Supplier_084</t>
        </is>
      </c>
      <c r="F3" s="19" t="inlineStr">
        <is>
          <t>BMGG-MAZ-NWP-25003-补01</t>
        </is>
      </c>
      <c r="G3" t="n">
        <v>1078917.7</v>
      </c>
      <c r="H3" t="n">
        <v>140259.3</v>
      </c>
      <c r="I3" t="n">
        <v>1219177</v>
      </c>
      <c r="K3" s="34" t="inlineStr">
        <is>
          <t>MAZ-NWP-25003-2</t>
        </is>
      </c>
      <c r="L3" t="n">
        <v>6.97</v>
      </c>
    </row>
    <row r="4" ht="56.25" customHeight="1">
      <c r="A4" s="21" t="inlineStr">
        <is>
          <t>JX-20261014-004</t>
        </is>
      </c>
      <c r="B4" t="inlineStr">
        <is>
          <t>26532000001348281976</t>
        </is>
      </c>
      <c r="C4" t="inlineStr">
        <is>
          <t>2026-08-11</t>
        </is>
      </c>
      <c r="D4" s="32" t="inlineStr">
        <is>
          <t>增值税专用发票</t>
        </is>
      </c>
      <c r="E4" t="inlineStr">
        <is>
          <t>Supplier_084</t>
        </is>
      </c>
      <c r="F4" s="19" t="inlineStr">
        <is>
          <t>BMGG-MAZ-NWP-25003-补01</t>
        </is>
      </c>
      <c r="G4" t="n">
        <v>326548.67</v>
      </c>
      <c r="H4" t="n">
        <v>42451.33</v>
      </c>
      <c r="I4" t="n">
        <v>369000</v>
      </c>
      <c r="K4" s="34" t="inlineStr">
        <is>
          <t>MAZ-NWP-25003-2</t>
        </is>
      </c>
      <c r="L4" t="n">
        <v>2.11</v>
      </c>
    </row>
    <row r="5" ht="56.25" customHeight="1">
      <c r="A5" s="21" t="inlineStr">
        <is>
          <t>JX-20261014-005</t>
        </is>
      </c>
      <c r="B5" t="inlineStr">
        <is>
          <t>26532000001348713616</t>
        </is>
      </c>
      <c r="C5" t="inlineStr">
        <is>
          <t>2026-08-11</t>
        </is>
      </c>
      <c r="D5" s="32" t="inlineStr">
        <is>
          <t>增值税专用发票</t>
        </is>
      </c>
      <c r="E5" t="inlineStr">
        <is>
          <t>Supplier_084</t>
        </is>
      </c>
      <c r="F5" s="19" t="inlineStr">
        <is>
          <t>BMGG-MAZ-NWP-25003-补01</t>
        </is>
      </c>
      <c r="G5" t="n">
        <v>136814.16</v>
      </c>
      <c r="H5" t="n">
        <v>17785.84</v>
      </c>
      <c r="I5" t="n">
        <v>154600</v>
      </c>
      <c r="K5" s="34" t="inlineStr">
        <is>
          <t>MAZ-NWP-25003-2</t>
        </is>
      </c>
      <c r="L5" t="n">
        <v>0.88</v>
      </c>
    </row>
  </sheetData>
  <autoFilter ref="A1:N5"/>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Sheet14">
    <tabColor rgb="FF5B9BD5"/>
    <outlinePr summaryBelow="1" summaryRight="1"/>
    <pageSetUpPr/>
  </sheetPr>
  <dimension ref="A1:N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14"/>
  </cols>
  <sheetData>
    <row r="1" ht="22.05" customHeight="1">
      <c r="A1" s="6" t="inlineStr">
        <is>
          <t>单据编号</t>
        </is>
      </c>
      <c r="B1" s="5" t="inlineStr">
        <is>
          <t>发票号码</t>
        </is>
      </c>
      <c r="C1" s="6" t="inlineStr">
        <is>
          <t>发票日期</t>
        </is>
      </c>
      <c r="D1" s="6" t="inlineStr">
        <is>
          <t>发票类型</t>
        </is>
      </c>
      <c r="E1" s="6" t="inlineStr">
        <is>
          <t>客商编码</t>
        </is>
      </c>
      <c r="F1" s="5" t="inlineStr">
        <is>
          <t>合同编号</t>
        </is>
      </c>
      <c r="G1" s="6" t="inlineStr">
        <is>
          <t>不含税金额</t>
        </is>
      </c>
      <c r="H1" s="6" t="inlineStr">
        <is>
          <t>税额</t>
        </is>
      </c>
      <c r="I1" s="6" t="inlineStr">
        <is>
          <t>价税合计</t>
        </is>
      </c>
      <c r="J1" s="6" t="inlineStr">
        <is>
          <t>备注</t>
        </is>
      </c>
      <c r="K1" s="5" t="inlineStr">
        <is>
          <t>物料编号</t>
        </is>
      </c>
      <c r="L1" s="5" t="inlineStr">
        <is>
          <t>数量</t>
        </is>
      </c>
      <c r="M1" s="6" t="inlineStr">
        <is>
          <t>含税单价</t>
        </is>
      </c>
      <c r="N1" s="6" t="inlineStr">
        <is>
          <t>税率</t>
        </is>
      </c>
    </row>
  </sheetData>
  <autoFilter ref="A1:N1"/>
  <pageMargins left="0.75" right="0.75" top="1" bottom="1" header="0.5" footer="0.5"/>
  <legacyDrawing xmlns:r="http://schemas.openxmlformats.org/officeDocument/2006/relationships" r:id="anysvml"/>
</worksheet>
</file>

<file path=xl/worksheets/sheet15.xml><?xml version="1.0" encoding="utf-8"?>
<worksheet xmlns="http://schemas.openxmlformats.org/spreadsheetml/2006/main">
  <sheetPr codeName="Sheet15">
    <tabColor rgb="FF5B9BD5"/>
    <outlinePr summaryBelow="1" summaryRight="1"/>
    <pageSetUpPr/>
  </sheetPr>
  <dimension ref="A1:I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9"/>
  </cols>
  <sheetData>
    <row r="1" ht="22.05" customHeight="1">
      <c r="A1" s="6" t="inlineStr">
        <is>
          <t>单据编号</t>
        </is>
      </c>
      <c r="B1" s="6" t="inlineStr">
        <is>
          <t>单据日期</t>
        </is>
      </c>
      <c r="C1" s="6" t="inlineStr">
        <is>
          <t>客商编码</t>
        </is>
      </c>
      <c r="D1" s="5" t="inlineStr">
        <is>
          <t>合同编号</t>
        </is>
      </c>
      <c r="E1" s="5" t="inlineStr">
        <is>
          <t>阶段序号</t>
        </is>
      </c>
      <c r="F1" s="5" t="inlineStr">
        <is>
          <t>阶段名称</t>
        </is>
      </c>
      <c r="G1" s="5" t="inlineStr">
        <is>
          <t>金额</t>
        </is>
      </c>
      <c r="H1" s="6" t="inlineStr">
        <is>
          <t>账户</t>
        </is>
      </c>
      <c r="I1" s="6" t="inlineStr">
        <is>
          <t>备注</t>
        </is>
      </c>
    </row>
  </sheetData>
  <autoFilter ref="A1:I1"/>
  <pageMargins left="0.75" right="0.75" top="1" bottom="1" header="0.5" footer="0.5"/>
  <legacyDrawing xmlns:r="http://schemas.openxmlformats.org/officeDocument/2006/relationships" r:id="anysvml"/>
</worksheet>
</file>

<file path=xl/worksheets/sheet16.xml><?xml version="1.0" encoding="utf-8"?>
<worksheet xmlns="http://schemas.openxmlformats.org/spreadsheetml/2006/main">
  <sheetPr codeName="Sheet16">
    <tabColor rgb="FF5B9BD5"/>
    <outlinePr summaryBelow="1" summaryRight="1"/>
    <pageSetUpPr/>
  </sheetPr>
  <dimension ref="A1:I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9"/>
  </cols>
  <sheetData>
    <row r="1" ht="22.05" customHeight="1">
      <c r="A1" s="6" t="inlineStr">
        <is>
          <t>h</t>
        </is>
      </c>
      <c r="B1" s="6" t="inlineStr">
        <is>
          <t>单据日期</t>
        </is>
      </c>
      <c r="C1" s="6" t="inlineStr">
        <is>
          <t>客商编码</t>
        </is>
      </c>
      <c r="D1" s="5" t="inlineStr">
        <is>
          <t>合同编号</t>
        </is>
      </c>
      <c r="E1" s="5" t="inlineStr">
        <is>
          <t>阶段序号</t>
        </is>
      </c>
      <c r="F1" s="5" t="inlineStr">
        <is>
          <t>阶段名称</t>
        </is>
      </c>
      <c r="G1" s="5" t="inlineStr">
        <is>
          <t>金额</t>
        </is>
      </c>
      <c r="H1" s="6" t="inlineStr">
        <is>
          <t>账户</t>
        </is>
      </c>
      <c r="I1" s="6" t="inlineStr">
        <is>
          <t>备注</t>
        </is>
      </c>
    </row>
  </sheetData>
  <autoFilter ref="A1:I1"/>
  <pageMargins left="0.75" right="0.75" top="1" bottom="1" header="0.5" footer="0.5"/>
  <legacyDrawing xmlns:r="http://schemas.openxmlformats.org/officeDocument/2006/relationships" r:id="anysvml"/>
</worksheet>
</file>

<file path=xl/worksheets/sheet17.xml><?xml version="1.0" encoding="utf-8"?>
<worksheet xmlns="http://schemas.openxmlformats.org/spreadsheetml/2006/main">
  <sheetPr codeName="Sheet17">
    <tabColor rgb="FF5B9BD5"/>
    <outlinePr summaryBelow="1" summaryRight="1"/>
    <pageSetUpPr/>
  </sheetPr>
  <dimension ref="A1:AK1"/>
  <sheetViews>
    <sheetView workbookViewId="0">
      <pane ySplit="1" topLeftCell="A2" activePane="bottomLeft" state="frozen"/>
      <selection activeCell="A1" sqref="A1"/>
      <selection pane="bottomLeft" activeCell="A1" sqref="A1"/>
    </sheetView>
  </sheetViews>
  <sheetFormatPr baseColWidth="8" defaultColWidth="9" defaultRowHeight="13.5"/>
  <cols>
    <col width="14" customWidth="1" min="1" max="34"/>
    <col width="18" customWidth="1" min="35" max="35"/>
    <col width="14" customWidth="1" min="36" max="37"/>
  </cols>
  <sheetData>
    <row r="1" ht="22.05" customHeight="1">
      <c r="A1" s="6" t="inlineStr">
        <is>
          <t>入仓单号</t>
        </is>
      </c>
      <c r="B1" s="6" t="inlineStr">
        <is>
          <t>入仓日期</t>
        </is>
      </c>
      <c r="C1" s="6" t="inlineStr">
        <is>
          <t>合同号</t>
        </is>
      </c>
      <c r="D1" s="6" t="inlineStr">
        <is>
          <t>箱单号</t>
        </is>
      </c>
      <c r="E1" s="6" t="inlineStr">
        <is>
          <t>物料大类</t>
        </is>
      </c>
      <c r="F1" s="5" t="inlineStr">
        <is>
          <t>物料编号</t>
        </is>
      </c>
      <c r="G1" s="5" t="inlineStr">
        <is>
          <t>中文名称</t>
        </is>
      </c>
      <c r="H1" s="6" t="inlineStr">
        <is>
          <t>英文名称</t>
        </is>
      </c>
      <c r="I1" s="6" t="inlineStr">
        <is>
          <t>规格</t>
        </is>
      </c>
      <c r="J1" s="6" t="inlineStr">
        <is>
          <t>单位</t>
        </is>
      </c>
      <c r="K1" s="5" t="inlineStr">
        <is>
          <t>数量</t>
        </is>
      </c>
      <c r="L1" s="6" t="inlineStr">
        <is>
          <t>产地</t>
        </is>
      </c>
      <c r="M1" s="6" t="inlineStr">
        <is>
          <t>使用设备</t>
        </is>
      </c>
      <c r="N1" s="6" t="inlineStr">
        <is>
          <t>箱号</t>
        </is>
      </c>
      <c r="O1" s="6" t="inlineStr">
        <is>
          <t>集装箱号</t>
        </is>
      </c>
      <c r="P1" s="6" t="inlineStr">
        <is>
          <t>提单号</t>
        </is>
      </c>
      <c r="Q1" s="6" t="inlineStr">
        <is>
          <t>船名/航号</t>
        </is>
      </c>
      <c r="R1" s="6" t="inlineStr">
        <is>
          <t>毛重</t>
        </is>
      </c>
      <c r="S1" s="6" t="inlineStr">
        <is>
          <t>净重</t>
        </is>
      </c>
      <c r="T1" s="6" t="inlineStr">
        <is>
          <t>长</t>
        </is>
      </c>
      <c r="U1" s="6" t="inlineStr">
        <is>
          <t>宽</t>
        </is>
      </c>
      <c r="V1" s="6" t="inlineStr">
        <is>
          <t>高</t>
        </is>
      </c>
      <c r="W1" s="6" t="inlineStr">
        <is>
          <t>体积</t>
        </is>
      </c>
      <c r="X1" s="6" t="inlineStr">
        <is>
          <t>PO单号</t>
        </is>
      </c>
      <c r="Y1" s="6" t="inlineStr">
        <is>
          <t>含税单价</t>
        </is>
      </c>
      <c r="Z1" s="6" t="inlineStr">
        <is>
          <t>特殊申报</t>
        </is>
      </c>
      <c r="AA1" s="6" t="inlineStr">
        <is>
          <t>包件件数</t>
        </is>
      </c>
      <c r="AB1" s="6" t="inlineStr">
        <is>
          <t>询价名称</t>
        </is>
      </c>
      <c r="AC1" s="6" t="inlineStr">
        <is>
          <t>询价型号</t>
        </is>
      </c>
      <c r="AD1" s="6" t="inlineStr">
        <is>
          <t>询价数量</t>
        </is>
      </c>
      <c r="AE1" s="6" t="inlineStr">
        <is>
          <t>出发港</t>
        </is>
      </c>
      <c r="AF1" s="6" t="inlineStr">
        <is>
          <t>目的港</t>
        </is>
      </c>
      <c r="AG1" s="6" t="inlineStr">
        <is>
          <t>收货人</t>
        </is>
      </c>
      <c r="AH1" s="6" t="inlineStr">
        <is>
          <t>付款条款</t>
        </is>
      </c>
      <c r="AI1" s="6" t="inlineStr">
        <is>
          <t>HS Code</t>
        </is>
      </c>
      <c r="AJ1" s="6" t="inlineStr">
        <is>
          <t>申报要素</t>
        </is>
      </c>
      <c r="AK1" s="6" t="inlineStr">
        <is>
          <t>备注</t>
        </is>
      </c>
    </row>
  </sheetData>
  <autoFilter ref="A1:AK1"/>
  <pageMargins left="0.75" right="0.75" top="1" bottom="1" header="0.5" footer="0.5"/>
  <legacyDrawing xmlns:r="http://schemas.openxmlformats.org/officeDocument/2006/relationships" r:id="anysvml"/>
</worksheet>
</file>

<file path=xl/worksheets/sheet18.xml><?xml version="1.0" encoding="utf-8"?>
<worksheet xmlns="http://schemas.openxmlformats.org/spreadsheetml/2006/main">
  <sheetPr codeName="Sheet26">
    <tabColor rgb="FF5B9BD5"/>
    <outlinePr summaryBelow="1" summaryRight="1"/>
    <pageSetUpPr/>
  </sheetPr>
  <dimension ref="A1:N2"/>
  <sheetViews>
    <sheetView workbookViewId="0">
      <pane ySplit="1" topLeftCell="A2" activePane="bottomLeft" state="frozen"/>
      <selection activeCell="A1" sqref="A1"/>
      <selection pane="bottomLeft" activeCell="E30" sqref="E30"/>
    </sheetView>
  </sheetViews>
  <sheetFormatPr baseColWidth="8" defaultColWidth="9" defaultRowHeight="13.5" outlineLevelRow="1"/>
  <cols>
    <col width="14" customWidth="1" min="1" max="14"/>
  </cols>
  <sheetData>
    <row r="1" ht="22.05" customHeight="1">
      <c r="A1" s="6" t="inlineStr">
        <is>
          <t>单据编号</t>
        </is>
      </c>
      <c r="B1" s="5" t="inlineStr">
        <is>
          <t>发票号码</t>
        </is>
      </c>
      <c r="C1" s="6" t="inlineStr">
        <is>
          <t>发票日期</t>
        </is>
      </c>
      <c r="D1" s="6" t="inlineStr">
        <is>
          <t>发票类型</t>
        </is>
      </c>
      <c r="E1" s="6" t="inlineStr">
        <is>
          <t>客商编码</t>
        </is>
      </c>
      <c r="F1" s="5" t="inlineStr">
        <is>
          <t>合同编号</t>
        </is>
      </c>
      <c r="G1" s="6" t="inlineStr">
        <is>
          <t>不含税金额</t>
        </is>
      </c>
      <c r="H1" s="6" t="inlineStr">
        <is>
          <t>税额</t>
        </is>
      </c>
      <c r="I1" s="6" t="inlineStr">
        <is>
          <t>价税合计</t>
        </is>
      </c>
      <c r="J1" s="6" t="inlineStr">
        <is>
          <t>备注</t>
        </is>
      </c>
      <c r="K1" s="5" t="inlineStr">
        <is>
          <t>物料编号</t>
        </is>
      </c>
      <c r="L1" s="5" t="inlineStr">
        <is>
          <t>数量</t>
        </is>
      </c>
      <c r="M1" s="6" t="inlineStr">
        <is>
          <t>含税单价</t>
        </is>
      </c>
      <c r="N1" s="6" t="inlineStr">
        <is>
          <t>税率</t>
        </is>
      </c>
    </row>
    <row r="2" ht="56.25" customHeight="1">
      <c r="A2" s="26" t="inlineStr">
        <is>
          <t>JX-20261014-003</t>
        </is>
      </c>
      <c r="B2" s="27" t="inlineStr">
        <is>
          <t>26532000001347729586</t>
        </is>
      </c>
      <c r="C2" s="27" t="inlineStr">
        <is>
          <t>2026-08-11</t>
        </is>
      </c>
      <c r="D2" s="28" t="inlineStr">
        <is>
          <t>增值税专用发票</t>
        </is>
      </c>
      <c r="E2" s="27" t="inlineStr">
        <is>
          <t>Supplier_084</t>
        </is>
      </c>
      <c r="F2" s="29" t="inlineStr">
        <is>
          <t>BMGG-MAZ-NWP-25003-补01</t>
        </is>
      </c>
      <c r="G2" s="27">
        <f>ROUND(I2/1.13,2)</f>
        <v/>
      </c>
      <c r="H2" s="27" t="n"/>
      <c r="I2" s="27" t="n">
        <v>1219177</v>
      </c>
      <c r="J2" s="27" t="n"/>
      <c r="K2" s="30" t="inlineStr">
        <is>
          <t>MAZ-NWP-25003-2</t>
        </is>
      </c>
      <c r="L2" s="27" t="n">
        <v>1</v>
      </c>
      <c r="M2" s="27" t="n"/>
      <c r="N2" s="27" t="n"/>
    </row>
  </sheetData>
  <autoFilter ref="A1:N2"/>
  <pageMargins left="0.75" right="0.75" top="1" bottom="1" header="0.5" footer="0.5"/>
  <legacyDrawing xmlns:r="http://schemas.openxmlformats.org/officeDocument/2006/relationships" r:id="anysvml"/>
</worksheet>
</file>

<file path=xl/worksheets/sheet19.xml><?xml version="1.0" encoding="utf-8"?>
<worksheet xmlns="http://schemas.openxmlformats.org/spreadsheetml/2006/main">
  <sheetPr codeName="Sheet18">
    <tabColor rgb="FFC65911"/>
    <outlinePr summaryBelow="1" summaryRight="1"/>
    <pageSetUpPr/>
  </sheetPr>
  <dimension ref="A1:XFD22"/>
  <sheetViews>
    <sheetView workbookViewId="0">
      <pane ySplit="2" topLeftCell="A3" activePane="bottomLeft" state="frozen"/>
      <selection activeCell="A1" sqref="A1"/>
      <selection pane="bottomLeft" activeCell="G3" sqref="G3"/>
    </sheetView>
  </sheetViews>
  <sheetFormatPr baseColWidth="8" defaultColWidth="9" defaultRowHeight="13.5"/>
  <cols>
    <col width="17" customWidth="1" min="1" max="1"/>
    <col width="27.875" customWidth="1" min="2" max="2"/>
    <col width="14" customWidth="1" min="3" max="10"/>
    <col width="23.1083333333333" customWidth="1" min="11" max="11"/>
    <col width="14" customWidth="1" min="12" max="24"/>
  </cols>
  <sheetData>
    <row r="1" ht="63" customHeight="1">
      <c r="A1" s="16" t="inlineStr">
        <is>
          <t>主表</t>
        </is>
      </c>
      <c r="B1" s="16" t="n"/>
      <c r="C1" s="16" t="n"/>
      <c r="D1" s="16" t="n"/>
      <c r="E1" s="17">
        <f>VLOOKUP($D$3,客商台账!B1:$C$199,2,FALSE)</f>
        <v/>
      </c>
      <c r="F1" s="16" t="n"/>
    </row>
    <row r="2" ht="22.05" customHeight="1">
      <c r="A2" s="5" t="inlineStr">
        <is>
          <t>合同编号</t>
        </is>
      </c>
      <c r="B2" s="6" t="inlineStr">
        <is>
          <t>合同名称</t>
        </is>
      </c>
      <c r="C2" s="6" t="inlineStr">
        <is>
          <t>合同类型</t>
        </is>
      </c>
      <c r="D2" s="5" t="inlineStr">
        <is>
          <t>供应商</t>
        </is>
      </c>
      <c r="E2" s="5" t="inlineStr">
        <is>
          <t>供应商编码</t>
        </is>
      </c>
      <c r="F2" s="6" t="inlineStr">
        <is>
          <t>签订日期</t>
        </is>
      </c>
      <c r="G2" s="6" t="inlineStr">
        <is>
          <t>标的名称</t>
        </is>
      </c>
      <c r="H2" s="6" t="inlineStr">
        <is>
          <t>收货地址</t>
        </is>
      </c>
      <c r="I2" s="6" t="inlineStr">
        <is>
          <t>收货人</t>
        </is>
      </c>
      <c r="J2" s="6" t="inlineStr">
        <is>
          <t>运输方式</t>
        </is>
      </c>
      <c r="K2" s="6" t="inlineStr">
        <is>
          <t>交货期限</t>
        </is>
      </c>
      <c r="L2" s="6" t="inlineStr">
        <is>
          <t>运费承担</t>
        </is>
      </c>
      <c r="M2" s="6" t="inlineStr">
        <is>
          <t>付款条款</t>
        </is>
      </c>
      <c r="N2" s="6" t="inlineStr">
        <is>
          <t>验收标准</t>
        </is>
      </c>
      <c r="O2" s="18" t="inlineStr">
        <is>
          <t>业务员</t>
        </is>
      </c>
      <c r="P2" s="18" t="inlineStr">
        <is>
          <t>项目编号</t>
        </is>
      </c>
      <c r="Q2" s="18" t="inlineStr">
        <is>
          <t>合同状态</t>
        </is>
      </c>
      <c r="R2" s="18" t="inlineStr">
        <is>
          <t>计价方式</t>
        </is>
      </c>
      <c r="S2" s="18" t="inlineStr">
        <is>
          <t>税率</t>
        </is>
      </c>
      <c r="T2" s="18" t="inlineStr">
        <is>
          <t>开始日期</t>
        </is>
      </c>
      <c r="U2" s="18" t="inlineStr">
        <is>
          <t>结束日期</t>
        </is>
      </c>
      <c r="V2" s="18" t="inlineStr">
        <is>
          <t>附件说明</t>
        </is>
      </c>
      <c r="W2" s="18" t="inlineStr">
        <is>
          <t>内容概述</t>
        </is>
      </c>
      <c r="X2" s="18" t="inlineStr">
        <is>
          <t>备注</t>
        </is>
      </c>
    </row>
    <row r="3" ht="20" customFormat="1" customHeight="1" s="14">
      <c r="A3" s="19" t="inlineStr">
        <is>
          <t>BMGG-MAZ-26111</t>
        </is>
      </c>
      <c r="B3" s="19" t="inlineStr">
        <is>
          <t>履带压链机采购合同</t>
        </is>
      </c>
      <c r="C3" s="19" t="inlineStr">
        <is>
          <t>采购合同</t>
        </is>
      </c>
      <c r="D3" s="19" t="inlineStr">
        <is>
          <t>山东星工液压科技有限公司</t>
        </is>
      </c>
      <c r="E3" s="19" t="inlineStr">
        <is>
          <t>Supplier_085</t>
        </is>
      </c>
      <c r="F3" s="19" t="n"/>
      <c r="G3" s="19" t="inlineStr">
        <is>
          <t>履带压链机采购</t>
        </is>
      </c>
      <c r="H3" s="19" t="inlineStr">
        <is>
          <t>上海港或国内其他主要港口，具体待通知</t>
        </is>
      </c>
      <c r="I3" s="19" t="inlineStr">
        <is>
          <t>待通知</t>
        </is>
      </c>
      <c r="J3" s="19" t="inlineStr">
        <is>
          <t>卖家推荐</t>
        </is>
      </c>
      <c r="K3" s="19" t="inlineStr">
        <is>
          <t>自本合同签订之日起15天内</t>
        </is>
      </c>
      <c r="L3" s="19" t="inlineStr">
        <is>
          <t>卖方承担运费（卖方向买方提供运输发票或者单据复印件）</t>
        </is>
      </c>
      <c r="M3" s="19" t="inlineStr">
        <is>
          <t>1、付款方式为先款后货：合同签订后7个工作日内支付全款，卖家收到货款后3个工作日内开具全额正规发票，卖家于15天内发货。
2、支付渠道：银行电汇</t>
        </is>
      </c>
      <c r="N3" s="19" t="inlineStr">
        <is>
          <t>1、买方仅对卖方所交付产品数量做验收；
2、产品质量、规格及型号按国家产品质量标准执行；
3、质保期：正常使用质保壹年</t>
        </is>
      </c>
    </row>
    <row r="4" ht="24" customHeight="1">
      <c r="A4" s="10" t="inlineStr">
        <is>
          <t>物料明细</t>
        </is>
      </c>
    </row>
    <row r="5" ht="22.05" customHeight="1">
      <c r="A5" s="6" t="inlineStr">
        <is>
          <t>合同编号</t>
        </is>
      </c>
      <c r="B5" s="5" t="inlineStr">
        <is>
          <t>物料编号</t>
        </is>
      </c>
      <c r="C5" s="6" t="inlineStr">
        <is>
          <t>中文名称</t>
        </is>
      </c>
      <c r="D5" s="6" t="inlineStr">
        <is>
          <t>英文名称</t>
        </is>
      </c>
      <c r="E5" s="6" t="inlineStr">
        <is>
          <t>规格</t>
        </is>
      </c>
      <c r="F5" s="6" t="inlineStr">
        <is>
          <t>单位</t>
        </is>
      </c>
      <c r="G5" s="5" t="inlineStr">
        <is>
          <t>数量</t>
        </is>
      </c>
      <c r="H5" s="5" t="inlineStr">
        <is>
          <t>含税单价</t>
        </is>
      </c>
    </row>
    <row r="6" ht="36" customFormat="1" customHeight="1" s="15">
      <c r="A6" s="42">
        <f>$A$3</f>
        <v/>
      </c>
      <c r="B6" t="inlineStr">
        <is>
          <t>202608-MAZ 202608-6-272-1</t>
        </is>
      </c>
      <c r="C6" s="21" t="inlineStr">
        <is>
          <t>履带压链机</t>
        </is>
      </c>
      <c r="D6" s="22" t="inlineStr">
        <is>
          <t>TRACK LINK PRESS</t>
        </is>
      </c>
      <c r="E6" s="22" t="inlineStr">
        <is>
          <t>250吨压链机，配套220伏电动泵+手动泵</t>
        </is>
      </c>
      <c r="F6" s="22" t="inlineStr">
        <is>
          <t>台</t>
        </is>
      </c>
      <c r="G6" s="22" t="n">
        <v>1</v>
      </c>
      <c r="H6" t="n">
        <v>12500</v>
      </c>
      <c r="I6" s="15" t="inlineStr">
        <is>
          <t>MAZ</t>
        </is>
      </c>
      <c r="XEX6" s="42" t="n"/>
      <c r="XEY6" s="42" t="n"/>
      <c r="XEZ6" s="42" t="n"/>
      <c r="XFA6" s="42" t="n"/>
      <c r="XFB6" s="42" t="n"/>
      <c r="XFC6" s="42" t="n"/>
      <c r="XFD6" s="42" t="n"/>
    </row>
    <row r="7" ht="17.4" customHeight="1">
      <c r="A7" s="23" t="inlineStr">
        <is>
          <t>阶段付款</t>
        </is>
      </c>
      <c r="I7" s="15" t="n"/>
    </row>
    <row r="8">
      <c r="A8" s="24" t="inlineStr">
        <is>
          <t>合同编号</t>
        </is>
      </c>
      <c r="B8" s="25" t="inlineStr">
        <is>
          <t>阶段名称</t>
        </is>
      </c>
      <c r="C8" s="24" t="inlineStr">
        <is>
          <t>比例</t>
        </is>
      </c>
      <c r="D8" s="24" t="inlineStr">
        <is>
          <t>计划金额</t>
        </is>
      </c>
      <c r="E8" s="24" t="inlineStr">
        <is>
          <t>计划日期</t>
        </is>
      </c>
      <c r="F8" s="24" t="inlineStr">
        <is>
          <t>备注</t>
        </is>
      </c>
      <c r="G8" s="25" t="inlineStr">
        <is>
          <t>到货阶段</t>
        </is>
      </c>
      <c r="I8" s="15" t="n"/>
    </row>
    <row r="9">
      <c r="A9" s="42">
        <f>$A$3</f>
        <v/>
      </c>
      <c r="B9" t="inlineStr">
        <is>
          <t>到货款</t>
        </is>
      </c>
      <c r="C9" t="n">
        <v>100</v>
      </c>
      <c r="D9">
        <f>ROUND($G$6*$H$6*C9/100,2)</f>
        <v/>
      </c>
    </row>
    <row r="10">
      <c r="J10" t="n">
        <v>1</v>
      </c>
    </row>
    <row r="11">
      <c r="J11" t="n">
        <v>3</v>
      </c>
    </row>
    <row r="12">
      <c r="J12" t="n">
        <v>4</v>
      </c>
    </row>
    <row r="13">
      <c r="J13" t="n">
        <v>5</v>
      </c>
    </row>
    <row r="14">
      <c r="J14" t="n">
        <v>6</v>
      </c>
    </row>
    <row r="15">
      <c r="H15" s="42">
        <f>$A$3</f>
        <v/>
      </c>
      <c r="I15" t="inlineStr">
        <is>
          <t>预付款</t>
        </is>
      </c>
      <c r="J15" t="n">
        <v>100</v>
      </c>
      <c r="K15">
        <f>ROUND($G$6*$H$6*J15/100,2)</f>
        <v/>
      </c>
    </row>
    <row r="16">
      <c r="H16" s="42">
        <f>$A$3</f>
        <v/>
      </c>
      <c r="I16" t="inlineStr">
        <is>
          <t>质保金</t>
        </is>
      </c>
      <c r="J16" t="n">
        <v>5</v>
      </c>
      <c r="K16">
        <f>H6*G6-SUM(D9:D9)</f>
        <v/>
      </c>
    </row>
    <row r="17">
      <c r="J17" t="n">
        <v>9</v>
      </c>
    </row>
    <row r="18">
      <c r="J18" t="n">
        <v>10</v>
      </c>
    </row>
    <row r="19">
      <c r="J19" t="n">
        <v>11</v>
      </c>
    </row>
    <row r="20">
      <c r="J20" t="n">
        <v>12</v>
      </c>
    </row>
    <row r="21">
      <c r="J21" t="n">
        <v>13</v>
      </c>
    </row>
    <row r="22">
      <c r="J22" t="n">
        <v>14</v>
      </c>
    </row>
  </sheetData>
  <mergeCells count="1">
    <mergeCell ref="A4:F4"/>
  </mergeCells>
  <pageMargins left="0.75" right="0.75" top="1" bottom="1" header="0.5" footer="0.5"/>
  <legacyDrawing xmlns:r="http://schemas.openxmlformats.org/officeDocument/2006/relationships" r:id="anysvml"/>
</worksheet>
</file>

<file path=xl/worksheets/sheet20.xml><?xml version="1.0" encoding="utf-8"?>
<worksheet xmlns="http://schemas.openxmlformats.org/spreadsheetml/2006/main">
  <sheetPr codeName="Sheet19">
    <tabColor rgb="FFC65911"/>
    <outlinePr summaryBelow="1" summaryRight="1"/>
    <pageSetUpPr/>
  </sheetPr>
  <dimension ref="A1:P8"/>
  <sheetViews>
    <sheetView workbookViewId="0">
      <pane ySplit="2" topLeftCell="A3" activePane="bottomLeft" state="frozen"/>
      <selection activeCell="A1" sqref="A1"/>
      <selection pane="bottomLeft" activeCell="A1" sqref="A1:F1"/>
    </sheetView>
  </sheetViews>
  <sheetFormatPr baseColWidth="8" defaultColWidth="9" defaultRowHeight="13.5" outlineLevelRow="7"/>
  <cols>
    <col width="14" customWidth="1" min="1" max="16"/>
  </cols>
  <sheetData>
    <row r="1" ht="24" customHeight="1">
      <c r="A1" s="10" t="inlineStr">
        <is>
          <t>主表</t>
        </is>
      </c>
    </row>
    <row r="2" ht="22.05" customHeight="1">
      <c r="A2" s="5" t="inlineStr">
        <is>
          <t>合同编号</t>
        </is>
      </c>
      <c r="B2" s="6" t="inlineStr">
        <is>
          <t>合同名称</t>
        </is>
      </c>
      <c r="C2" s="6" t="inlineStr">
        <is>
          <t>合同类型</t>
        </is>
      </c>
      <c r="D2" s="5" t="inlineStr">
        <is>
          <t>客户</t>
        </is>
      </c>
      <c r="E2" s="5" t="inlineStr">
        <is>
          <t>客户编码</t>
        </is>
      </c>
      <c r="F2" s="6" t="inlineStr">
        <is>
          <t>业务员</t>
        </is>
      </c>
      <c r="G2" s="6" t="inlineStr">
        <is>
          <t>项目编号</t>
        </is>
      </c>
      <c r="H2" s="6" t="inlineStr">
        <is>
          <t>合同状态</t>
        </is>
      </c>
      <c r="I2" s="6" t="inlineStr">
        <is>
          <t>计价方式</t>
        </is>
      </c>
      <c r="J2" s="6" t="inlineStr">
        <is>
          <t>税率</t>
        </is>
      </c>
      <c r="K2" s="6" t="inlineStr">
        <is>
          <t>签订日期</t>
        </is>
      </c>
      <c r="L2" s="6" t="inlineStr">
        <is>
          <t>开始日期</t>
        </is>
      </c>
      <c r="M2" s="6" t="inlineStr">
        <is>
          <t>结束日期</t>
        </is>
      </c>
      <c r="N2" s="6" t="inlineStr">
        <is>
          <t>内容概述</t>
        </is>
      </c>
      <c r="O2" s="6" t="inlineStr">
        <is>
          <t>条款</t>
        </is>
      </c>
      <c r="P2" s="6" t="inlineStr">
        <is>
          <t>备注</t>
        </is>
      </c>
    </row>
    <row r="4" ht="24" customHeight="1">
      <c r="A4" s="10" t="inlineStr">
        <is>
          <t>物料明细</t>
        </is>
      </c>
    </row>
    <row r="5" ht="22.05" customHeight="1">
      <c r="A5" s="6" t="inlineStr">
        <is>
          <t>合同编号</t>
        </is>
      </c>
      <c r="B5" s="5" t="inlineStr">
        <is>
          <t>物料编号</t>
        </is>
      </c>
      <c r="C5" s="6" t="inlineStr">
        <is>
          <t>中文名称</t>
        </is>
      </c>
      <c r="D5" s="6" t="inlineStr">
        <is>
          <t>英文名称</t>
        </is>
      </c>
      <c r="E5" s="6" t="inlineStr">
        <is>
          <t>规格</t>
        </is>
      </c>
      <c r="F5" s="6" t="inlineStr">
        <is>
          <t>单位</t>
        </is>
      </c>
      <c r="G5" s="5" t="inlineStr">
        <is>
          <t>数量</t>
        </is>
      </c>
      <c r="H5" s="5" t="inlineStr">
        <is>
          <t>含税单价</t>
        </is>
      </c>
      <c r="I5" s="6" t="inlineStr">
        <is>
          <t>备注</t>
        </is>
      </c>
    </row>
    <row r="7" ht="24" customHeight="1">
      <c r="A7" s="10" t="inlineStr">
        <is>
          <t>阶段付款</t>
        </is>
      </c>
    </row>
    <row r="8" ht="22.05" customHeight="1">
      <c r="A8" s="6" t="inlineStr">
        <is>
          <t>合同编号</t>
        </is>
      </c>
      <c r="B8" s="5" t="inlineStr">
        <is>
          <t>阶段名称</t>
        </is>
      </c>
      <c r="C8" s="6" t="inlineStr">
        <is>
          <t>比例</t>
        </is>
      </c>
      <c r="D8" s="6" t="inlineStr">
        <is>
          <t>计划金额</t>
        </is>
      </c>
      <c r="E8" s="6" t="inlineStr">
        <is>
          <t>计划日期</t>
        </is>
      </c>
      <c r="F8" s="6" t="inlineStr">
        <is>
          <t>备注</t>
        </is>
      </c>
      <c r="G8" s="6" t="inlineStr">
        <is>
          <t>发货阶段</t>
        </is>
      </c>
    </row>
  </sheetData>
  <mergeCells count="3">
    <mergeCell ref="A1:F1"/>
    <mergeCell ref="A7:F7"/>
    <mergeCell ref="A4:F4"/>
  </mergeCells>
  <pageMargins left="0.75" right="0.75" top="1" bottom="1" header="0.5" footer="0.5"/>
  <legacyDrawing xmlns:r="http://schemas.openxmlformats.org/officeDocument/2006/relationships" r:id="anysvml"/>
</worksheet>
</file>

<file path=xl/worksheets/sheet21.xml><?xml version="1.0" encoding="utf-8"?>
<worksheet xmlns="http://schemas.openxmlformats.org/spreadsheetml/2006/main">
  <sheetPr codeName="Sheet20">
    <tabColor rgb="FF548235"/>
    <outlinePr summaryBelow="1" summaryRight="1"/>
    <pageSetUpPr/>
  </sheetPr>
  <dimension ref="A1:AH22"/>
  <sheetViews>
    <sheetView workbookViewId="0">
      <pane xSplit="1" ySplit="4" topLeftCell="B5" activePane="bottomRight" state="frozen"/>
      <selection activeCell="A1" sqref="A1"/>
      <selection pane="topRight" activeCell="A1" sqref="A1"/>
      <selection pane="bottomLeft" activeCell="A1" sqref="A1"/>
      <selection pane="bottomRight" activeCell="D15" sqref="D15"/>
    </sheetView>
  </sheetViews>
  <sheetFormatPr baseColWidth="8" defaultColWidth="9" defaultRowHeight="13.5"/>
  <cols>
    <col width="32.225" customWidth="1" min="1" max="1"/>
    <col width="14" customWidth="1" min="2" max="10"/>
    <col width="16.4416666666667" customWidth="1" min="11" max="11"/>
    <col hidden="1" width="14" customWidth="1" min="12" max="12"/>
    <col width="17.4416666666667" customWidth="1" min="13" max="13"/>
    <col width="14" customWidth="1" min="14" max="17"/>
    <col hidden="1" width="14" customWidth="1" min="18" max="18"/>
    <col hidden="1" width="18" customWidth="1" min="19" max="19"/>
    <col hidden="1" width="14" customWidth="1" min="20" max="20"/>
    <col width="14" customWidth="1" min="21" max="31"/>
    <col hidden="1" width="14" customWidth="1" min="32" max="34"/>
  </cols>
  <sheetData>
    <row r="1" ht="22.05" customHeight="1">
      <c r="A1" s="8" t="inlineStr">
        <is>
          <t>先点「使用说明」里的「从入库载入」。灰色列是入库已经有的对照数据，不会回写。白色和蓝色列里，哪一列有值就导入哪一列，空单元格不覆盖原值。物料编号是唯一主键。</t>
        </is>
      </c>
      <c r="F1" s="42" t="n"/>
      <c r="G1" s="42" t="n"/>
      <c r="H1" s="42" t="n"/>
      <c r="I1" s="42" t="n"/>
      <c r="J1" s="42" t="n"/>
      <c r="K1" s="42" t="n"/>
    </row>
    <row r="2" ht="22.05" customHeight="1">
      <c r="F2" s="42" t="n"/>
      <c r="G2" s="42" t="n"/>
      <c r="H2" s="42" t="n"/>
      <c r="I2" s="42" t="n"/>
      <c r="J2" s="42" t="n"/>
      <c r="K2" s="42" t="n"/>
    </row>
    <row r="3" ht="17.4" customHeight="1">
      <c r="A3" s="10" t="inlineStr">
        <is>
          <t>物料明细</t>
        </is>
      </c>
    </row>
    <row r="4" ht="22.05" customHeight="1">
      <c r="A4" s="5" t="inlineStr">
        <is>
          <t>物料编号</t>
        </is>
      </c>
      <c r="B4" s="6" t="inlineStr">
        <is>
          <t>产地</t>
        </is>
      </c>
      <c r="C4" s="6" t="inlineStr">
        <is>
          <t>箱号</t>
        </is>
      </c>
      <c r="D4" s="6" t="inlineStr">
        <is>
          <t>长</t>
        </is>
      </c>
      <c r="E4" s="6" t="inlineStr">
        <is>
          <t>宽</t>
        </is>
      </c>
      <c r="F4" s="6" t="inlineStr">
        <is>
          <t>高</t>
        </is>
      </c>
      <c r="G4" s="6" t="inlineStr">
        <is>
          <t>尺寸</t>
        </is>
      </c>
      <c r="H4" s="6" t="inlineStr">
        <is>
          <t>净重</t>
        </is>
      </c>
      <c r="I4" s="6" t="inlineStr">
        <is>
          <t>毛重</t>
        </is>
      </c>
      <c r="J4" s="6" t="inlineStr">
        <is>
          <t>体积</t>
        </is>
      </c>
      <c r="K4" s="6" t="inlineStr">
        <is>
          <t>出发港</t>
        </is>
      </c>
      <c r="L4" s="6" t="inlineStr">
        <is>
          <t>目的港</t>
        </is>
      </c>
      <c r="M4" s="6" t="inlineStr">
        <is>
          <t>集装箱号</t>
        </is>
      </c>
      <c r="N4" s="6" t="inlineStr">
        <is>
          <t>提单号</t>
        </is>
      </c>
      <c r="O4" s="6" t="inlineStr">
        <is>
          <t>船名/航号</t>
        </is>
      </c>
      <c r="P4" s="6" t="inlineStr">
        <is>
          <t>箱单号</t>
        </is>
      </c>
      <c r="Q4" s="6" t="inlineStr">
        <is>
          <t>物料大类</t>
        </is>
      </c>
      <c r="R4" s="6" t="inlineStr">
        <is>
          <t>使用设备</t>
        </is>
      </c>
      <c r="S4" s="6" t="inlineStr">
        <is>
          <t>HS Code</t>
        </is>
      </c>
      <c r="T4" s="6" t="inlineStr">
        <is>
          <t>收货人</t>
        </is>
      </c>
      <c r="U4" s="6" t="inlineStr">
        <is>
          <t>包件件数</t>
        </is>
      </c>
      <c r="V4" s="6" t="inlineStr">
        <is>
          <t>入仓单号</t>
        </is>
      </c>
      <c r="W4" s="11" t="inlineStr">
        <is>
          <t>物料名称</t>
        </is>
      </c>
      <c r="X4" s="11" t="inlineStr">
        <is>
          <t>英文名称</t>
        </is>
      </c>
      <c r="Y4" s="11" t="inlineStr">
        <is>
          <t>规格</t>
        </is>
      </c>
      <c r="Z4" s="11" t="inlineStr">
        <is>
          <t>单位</t>
        </is>
      </c>
      <c r="AA4" s="11" t="inlineStr">
        <is>
          <t>数量</t>
        </is>
      </c>
      <c r="AB4" s="11" t="inlineStr">
        <is>
          <t>合同号</t>
        </is>
      </c>
      <c r="AC4" s="11" t="inlineStr">
        <is>
          <t>供应商</t>
        </is>
      </c>
      <c r="AD4" s="11" t="inlineStr">
        <is>
          <t>入仓日期</t>
        </is>
      </c>
      <c r="AE4" s="11" t="inlineStr">
        <is>
          <t>含税单价</t>
        </is>
      </c>
      <c r="AF4" s="6" t="inlineStr">
        <is>
          <t>付款条款</t>
        </is>
      </c>
      <c r="AG4" s="6" t="inlineStr">
        <is>
          <t>申报要素</t>
        </is>
      </c>
      <c r="AH4" s="6" t="inlineStr">
        <is>
          <t>备注</t>
        </is>
      </c>
    </row>
    <row r="5" ht="15" customHeight="1">
      <c r="A5" s="12" t="inlineStr">
        <is>
          <t>202607-PL-MAZ-2026-01-3</t>
        </is>
      </c>
      <c r="B5" t="inlineStr">
        <is>
          <t>内蒙古包头</t>
        </is>
      </c>
      <c r="C5" t="inlineStr">
        <is>
          <t>BOX-01</t>
        </is>
      </c>
      <c r="D5" t="n">
        <v>30</v>
      </c>
      <c r="E5" t="n">
        <v>30</v>
      </c>
      <c r="F5" t="n">
        <v>30</v>
      </c>
      <c r="G5" t="inlineStr">
        <is>
          <t>30*30*30</t>
        </is>
      </c>
      <c r="H5" t="n">
        <v>50</v>
      </c>
      <c r="I5" t="n">
        <v>55</v>
      </c>
      <c r="J5" t="n">
        <v>0.027</v>
      </c>
      <c r="K5" t="inlineStr">
        <is>
          <t>SHANGHAI,CHINA</t>
        </is>
      </c>
      <c r="M5" t="inlineStr">
        <is>
          <t>jizhuangxiang01</t>
        </is>
      </c>
      <c r="N5" t="inlineStr">
        <is>
          <t>BL002</t>
        </is>
      </c>
      <c r="O5" t="inlineStr">
        <is>
          <t>SALINA/627E</t>
        </is>
      </c>
      <c r="P5" t="inlineStr">
        <is>
          <t>XIANGDANHAO</t>
        </is>
      </c>
      <c r="Q5" s="13" t="inlineStr">
        <is>
          <t>对开法兰</t>
        </is>
      </c>
      <c r="U5" t="n">
        <v>1</v>
      </c>
      <c r="V5" t="inlineStr">
        <is>
          <t>BGMM-SH-152</t>
        </is>
      </c>
    </row>
    <row r="6" ht="15" customHeight="1">
      <c r="A6" s="12" t="inlineStr">
        <is>
          <t>202607-PL-MAZ-2026-01-2</t>
        </is>
      </c>
      <c r="B6" t="inlineStr">
        <is>
          <t>内蒙古包头</t>
        </is>
      </c>
      <c r="C6" t="inlineStr">
        <is>
          <t>BOX-01</t>
        </is>
      </c>
      <c r="D6" t="n">
        <v>31</v>
      </c>
      <c r="E6" t="n">
        <v>31</v>
      </c>
      <c r="F6" t="n">
        <v>31</v>
      </c>
      <c r="G6" t="inlineStr">
        <is>
          <t>31*31*31</t>
        </is>
      </c>
      <c r="H6" t="n">
        <v>51</v>
      </c>
      <c r="I6" t="n">
        <v>56</v>
      </c>
      <c r="J6" t="n">
        <v>0.029791</v>
      </c>
      <c r="K6" t="inlineStr">
        <is>
          <t>SHANGHAI,CHINA</t>
        </is>
      </c>
      <c r="M6" t="inlineStr">
        <is>
          <t>jizhuangxiang01</t>
        </is>
      </c>
      <c r="N6" t="inlineStr">
        <is>
          <t>BL002</t>
        </is>
      </c>
      <c r="O6" t="inlineStr">
        <is>
          <t>SALINA/627E</t>
        </is>
      </c>
      <c r="P6" t="inlineStr">
        <is>
          <t>XIANGDANHAO</t>
        </is>
      </c>
      <c r="Q6" s="13" t="inlineStr">
        <is>
          <t>对开法兰</t>
        </is>
      </c>
      <c r="U6" t="n">
        <v>1</v>
      </c>
      <c r="V6" t="inlineStr">
        <is>
          <t>BGMM-SH-152</t>
        </is>
      </c>
    </row>
    <row r="7" ht="15" customHeight="1">
      <c r="A7" s="12" t="inlineStr">
        <is>
          <t>202607-PL-MAZ-2026-01-1</t>
        </is>
      </c>
      <c r="B7" t="inlineStr">
        <is>
          <t>内蒙古包头</t>
        </is>
      </c>
      <c r="C7" t="inlineStr">
        <is>
          <t>BOX-01</t>
        </is>
      </c>
      <c r="D7" t="n">
        <v>32</v>
      </c>
      <c r="E7" t="n">
        <v>32</v>
      </c>
      <c r="F7" t="n">
        <v>32</v>
      </c>
      <c r="G7" t="inlineStr">
        <is>
          <t>32*32*32</t>
        </is>
      </c>
      <c r="H7" t="n">
        <v>52</v>
      </c>
      <c r="I7" t="n">
        <v>57</v>
      </c>
      <c r="J7" t="n">
        <v>0.032768</v>
      </c>
      <c r="K7" t="inlineStr">
        <is>
          <t>SHANGHAI,CHINA</t>
        </is>
      </c>
      <c r="M7" t="inlineStr">
        <is>
          <t>jizhuangxiang01</t>
        </is>
      </c>
      <c r="N7" t="inlineStr">
        <is>
          <t>BL002</t>
        </is>
      </c>
      <c r="O7" t="inlineStr">
        <is>
          <t>SALINA/627E</t>
        </is>
      </c>
      <c r="P7" t="inlineStr">
        <is>
          <t>XIANGDANHAO</t>
        </is>
      </c>
      <c r="Q7" s="13" t="inlineStr">
        <is>
          <t>对开法兰</t>
        </is>
      </c>
      <c r="U7" t="n">
        <v>1</v>
      </c>
      <c r="V7" t="inlineStr">
        <is>
          <t>BGMM-SH-152</t>
        </is>
      </c>
    </row>
    <row r="8" ht="15" customHeight="1">
      <c r="A8" s="12" t="inlineStr">
        <is>
          <t>202607-PL-MAZ-2026-01-5</t>
        </is>
      </c>
      <c r="B8" t="inlineStr">
        <is>
          <t>内蒙古包头</t>
        </is>
      </c>
      <c r="C8" t="inlineStr">
        <is>
          <t>BOX-01</t>
        </is>
      </c>
      <c r="D8" t="n">
        <v>33</v>
      </c>
      <c r="E8" t="n">
        <v>33</v>
      </c>
      <c r="F8" t="n">
        <v>33</v>
      </c>
      <c r="G8" t="inlineStr">
        <is>
          <t>33*33*33</t>
        </is>
      </c>
      <c r="H8" t="n">
        <v>53</v>
      </c>
      <c r="I8" t="n">
        <v>58</v>
      </c>
      <c r="J8" t="n">
        <v>0.035937</v>
      </c>
      <c r="K8" t="inlineStr">
        <is>
          <t>SHANGHAI,CHINA</t>
        </is>
      </c>
      <c r="M8" t="inlineStr">
        <is>
          <t>jizhuangxiang01</t>
        </is>
      </c>
      <c r="N8" t="inlineStr">
        <is>
          <t>BL002</t>
        </is>
      </c>
      <c r="O8" t="inlineStr">
        <is>
          <t>SALINA/627E</t>
        </is>
      </c>
      <c r="P8" t="inlineStr">
        <is>
          <t>XIANGDANHAO</t>
        </is>
      </c>
      <c r="Q8" s="13" t="inlineStr">
        <is>
          <t>非公路用自卸车零配件</t>
        </is>
      </c>
      <c r="U8" t="n">
        <v>1</v>
      </c>
      <c r="V8" t="inlineStr">
        <is>
          <t>BGMM-SH-152</t>
        </is>
      </c>
    </row>
    <row r="9" ht="15" customHeight="1">
      <c r="A9" s="12" t="inlineStr">
        <is>
          <t>202607-PL-MAZ-2026-01-9</t>
        </is>
      </c>
      <c r="B9" t="inlineStr">
        <is>
          <t>内蒙古包头</t>
        </is>
      </c>
      <c r="C9" t="inlineStr">
        <is>
          <t>BOX-02</t>
        </is>
      </c>
      <c r="D9" t="n">
        <v>34</v>
      </c>
      <c r="E9" t="n">
        <v>34</v>
      </c>
      <c r="F9" t="n">
        <v>34</v>
      </c>
      <c r="G9" t="inlineStr">
        <is>
          <t>34*34*34</t>
        </is>
      </c>
      <c r="H9" t="n">
        <v>54</v>
      </c>
      <c r="I9" t="n">
        <v>59</v>
      </c>
      <c r="J9" t="n">
        <v>0.039304</v>
      </c>
      <c r="K9" t="inlineStr">
        <is>
          <t>SHANGHAI,CHINA</t>
        </is>
      </c>
      <c r="M9" t="inlineStr">
        <is>
          <t>jizhuangxiang01</t>
        </is>
      </c>
      <c r="N9" t="inlineStr">
        <is>
          <t>BL002</t>
        </is>
      </c>
      <c r="O9" t="inlineStr">
        <is>
          <t>SALINA/627E</t>
        </is>
      </c>
      <c r="P9" t="inlineStr">
        <is>
          <t>XIANGDANHAO</t>
        </is>
      </c>
      <c r="Q9" s="13" t="inlineStr">
        <is>
          <t>非公路用自卸车零配件</t>
        </is>
      </c>
      <c r="U9" t="n">
        <v>1</v>
      </c>
      <c r="V9" t="inlineStr">
        <is>
          <t>BGMM-SH-158</t>
        </is>
      </c>
    </row>
    <row r="10" ht="15" customHeight="1">
      <c r="A10" s="12" t="inlineStr">
        <is>
          <t>202607-PL-MAZ-2026-01-8</t>
        </is>
      </c>
      <c r="B10" t="inlineStr">
        <is>
          <t>内蒙古包头</t>
        </is>
      </c>
      <c r="C10" t="inlineStr">
        <is>
          <t>BOX-02</t>
        </is>
      </c>
      <c r="D10" t="n">
        <v>35</v>
      </c>
      <c r="E10" t="n">
        <v>35</v>
      </c>
      <c r="F10" t="n">
        <v>35</v>
      </c>
      <c r="G10" t="inlineStr">
        <is>
          <t>35*35*35</t>
        </is>
      </c>
      <c r="H10" t="n">
        <v>55</v>
      </c>
      <c r="I10" t="n">
        <v>60</v>
      </c>
      <c r="J10" t="n">
        <v>0.042875</v>
      </c>
      <c r="K10" t="inlineStr">
        <is>
          <t>SHANGHAI,CHINA</t>
        </is>
      </c>
      <c r="M10" t="inlineStr">
        <is>
          <t>jizhuangxiang01</t>
        </is>
      </c>
      <c r="N10" t="inlineStr">
        <is>
          <t>BL002</t>
        </is>
      </c>
      <c r="O10" t="inlineStr">
        <is>
          <t>SALINA/627E</t>
        </is>
      </c>
      <c r="P10" t="inlineStr">
        <is>
          <t>XIANGDANHAO</t>
        </is>
      </c>
      <c r="Q10" s="13" t="inlineStr">
        <is>
          <t>非公路用自卸车零配件</t>
        </is>
      </c>
      <c r="U10" t="n">
        <v>1</v>
      </c>
      <c r="V10" t="inlineStr">
        <is>
          <t>BGMM-SH-158</t>
        </is>
      </c>
    </row>
    <row r="11" ht="15" customHeight="1">
      <c r="A11" s="12" t="inlineStr">
        <is>
          <t>202607-PL-MAZ-2026-01-7</t>
        </is>
      </c>
      <c r="B11" t="inlineStr">
        <is>
          <t>内蒙古包头</t>
        </is>
      </c>
      <c r="C11" t="inlineStr">
        <is>
          <t>BOX-02</t>
        </is>
      </c>
      <c r="D11" t="n">
        <v>36</v>
      </c>
      <c r="E11" t="n">
        <v>36</v>
      </c>
      <c r="F11" t="n">
        <v>36</v>
      </c>
      <c r="G11" t="inlineStr">
        <is>
          <t>36*36*36</t>
        </is>
      </c>
      <c r="H11" t="n">
        <v>56</v>
      </c>
      <c r="I11" t="n">
        <v>61</v>
      </c>
      <c r="J11" t="n">
        <v>0.046656</v>
      </c>
      <c r="K11" t="inlineStr">
        <is>
          <t>SHANGHAI,CHINA</t>
        </is>
      </c>
      <c r="M11" t="inlineStr">
        <is>
          <t>jizhuangxiang01</t>
        </is>
      </c>
      <c r="N11" t="inlineStr">
        <is>
          <t>BL002</t>
        </is>
      </c>
      <c r="O11" t="inlineStr">
        <is>
          <t>SALINA/627E</t>
        </is>
      </c>
      <c r="P11" t="inlineStr">
        <is>
          <t>XIANGDANHAO</t>
        </is>
      </c>
      <c r="Q11" s="13" t="inlineStr">
        <is>
          <t>非公路用自卸车零配件</t>
        </is>
      </c>
      <c r="U11" t="n">
        <v>1</v>
      </c>
      <c r="V11" t="inlineStr">
        <is>
          <t>BGMM-SH-158</t>
        </is>
      </c>
    </row>
    <row r="12" ht="15" customHeight="1">
      <c r="A12" s="12" t="inlineStr">
        <is>
          <t>202607-PL-MAZ-2026-01-4</t>
        </is>
      </c>
      <c r="B12" t="inlineStr">
        <is>
          <t>内蒙古包头</t>
        </is>
      </c>
      <c r="C12" t="inlineStr">
        <is>
          <t>BOX-02</t>
        </is>
      </c>
      <c r="D12" t="n">
        <v>37</v>
      </c>
      <c r="E12" t="n">
        <v>37</v>
      </c>
      <c r="F12" t="n">
        <v>37</v>
      </c>
      <c r="G12" t="inlineStr">
        <is>
          <t>37*37*37</t>
        </is>
      </c>
      <c r="H12" t="n">
        <v>57</v>
      </c>
      <c r="I12" t="n">
        <v>62</v>
      </c>
      <c r="J12" t="n">
        <v>0.050653</v>
      </c>
      <c r="K12" t="inlineStr">
        <is>
          <t>SHANGHAI,CHINA</t>
        </is>
      </c>
      <c r="M12" t="inlineStr">
        <is>
          <t>jizhuangxiang02</t>
        </is>
      </c>
      <c r="N12" t="inlineStr">
        <is>
          <t>BL002</t>
        </is>
      </c>
      <c r="O12" t="inlineStr">
        <is>
          <t>SALINA/627E</t>
        </is>
      </c>
      <c r="P12" t="inlineStr">
        <is>
          <t>XIANGDANHAO</t>
        </is>
      </c>
      <c r="Q12" s="13" t="inlineStr">
        <is>
          <t>非公路用自卸车零配件</t>
        </is>
      </c>
      <c r="U12" t="n">
        <v>1</v>
      </c>
      <c r="V12" t="inlineStr">
        <is>
          <t>BGMM-SH-158</t>
        </is>
      </c>
    </row>
    <row r="13" ht="15" customHeight="1">
      <c r="A13" s="12" t="inlineStr">
        <is>
          <t>202607-PL-MAZ-2026-01-6</t>
        </is>
      </c>
      <c r="B13" t="inlineStr">
        <is>
          <t>内蒙古包头</t>
        </is>
      </c>
      <c r="C13" t="inlineStr">
        <is>
          <t>BOX-02</t>
        </is>
      </c>
      <c r="D13" t="n">
        <v>38</v>
      </c>
      <c r="E13" t="n">
        <v>38</v>
      </c>
      <c r="F13" t="n">
        <v>38</v>
      </c>
      <c r="G13" t="inlineStr">
        <is>
          <t>38*38*38</t>
        </is>
      </c>
      <c r="H13" t="n">
        <v>58</v>
      </c>
      <c r="I13" t="n">
        <v>63</v>
      </c>
      <c r="J13" t="n">
        <v>0.054872</v>
      </c>
      <c r="K13" t="inlineStr">
        <is>
          <t>SHANGHAI,CHINA</t>
        </is>
      </c>
      <c r="M13" t="inlineStr">
        <is>
          <t>jizhuangxiang02</t>
        </is>
      </c>
      <c r="N13" t="inlineStr">
        <is>
          <t>BL002</t>
        </is>
      </c>
      <c r="O13" t="inlineStr">
        <is>
          <t>SALINA/627E</t>
        </is>
      </c>
      <c r="P13" t="inlineStr">
        <is>
          <t>XIANGDANHAO</t>
        </is>
      </c>
      <c r="Q13" s="13" t="inlineStr">
        <is>
          <t>非公路用自卸车零配件</t>
        </is>
      </c>
      <c r="U13" t="n">
        <v>1</v>
      </c>
      <c r="V13" t="inlineStr">
        <is>
          <t>BGMM-SH-158</t>
        </is>
      </c>
    </row>
    <row r="14" ht="15" customHeight="1">
      <c r="A14" s="12" t="inlineStr">
        <is>
          <t>202607-PL-MAZ-2026-01-20</t>
        </is>
      </c>
      <c r="B14" t="inlineStr">
        <is>
          <t>内蒙古包头</t>
        </is>
      </c>
      <c r="C14" t="inlineStr">
        <is>
          <t>BOX-03</t>
        </is>
      </c>
      <c r="D14" t="n">
        <v>39</v>
      </c>
      <c r="E14" t="n">
        <v>39</v>
      </c>
      <c r="F14" t="n">
        <v>39</v>
      </c>
      <c r="G14" t="inlineStr">
        <is>
          <t>39*39*39</t>
        </is>
      </c>
      <c r="H14" t="n">
        <v>59</v>
      </c>
      <c r="I14" t="n">
        <v>64</v>
      </c>
      <c r="J14" t="n">
        <v>0.059319</v>
      </c>
      <c r="K14" t="inlineStr">
        <is>
          <t>SHANGHAI,CHINA</t>
        </is>
      </c>
      <c r="M14" t="inlineStr">
        <is>
          <t>jizhuangxiang02</t>
        </is>
      </c>
      <c r="N14" t="inlineStr">
        <is>
          <t>BL002</t>
        </is>
      </c>
      <c r="O14" t="inlineStr">
        <is>
          <t>SALINA/627E</t>
        </is>
      </c>
      <c r="P14" t="inlineStr">
        <is>
          <t>XIANGDANHAO</t>
        </is>
      </c>
      <c r="Q14" s="13" t="inlineStr">
        <is>
          <t>非公路用自卸车零配件</t>
        </is>
      </c>
      <c r="U14" t="n">
        <v>1</v>
      </c>
      <c r="V14" t="inlineStr">
        <is>
          <t>BGMM-SH-168</t>
        </is>
      </c>
    </row>
    <row r="15" ht="15" customHeight="1">
      <c r="A15" s="12" t="inlineStr">
        <is>
          <t>202607-PL-MAZ-2026-01-19</t>
        </is>
      </c>
      <c r="B15" t="inlineStr">
        <is>
          <t>内蒙古包头</t>
        </is>
      </c>
      <c r="C15" t="inlineStr">
        <is>
          <t>BOX-03</t>
        </is>
      </c>
      <c r="D15" t="n">
        <v>40</v>
      </c>
      <c r="E15" t="n">
        <v>40</v>
      </c>
      <c r="F15" t="n">
        <v>40</v>
      </c>
      <c r="G15" t="inlineStr">
        <is>
          <t>40*40*40</t>
        </is>
      </c>
      <c r="H15" t="n">
        <v>60</v>
      </c>
      <c r="I15" t="n">
        <v>65</v>
      </c>
      <c r="J15" t="n">
        <v>0.064</v>
      </c>
      <c r="K15" t="inlineStr">
        <is>
          <t>SHANGHAI,CHINA</t>
        </is>
      </c>
      <c r="M15" t="inlineStr">
        <is>
          <t>jizhuangxiang02</t>
        </is>
      </c>
      <c r="N15" t="inlineStr">
        <is>
          <t>BL002</t>
        </is>
      </c>
      <c r="O15" t="inlineStr">
        <is>
          <t>SALINA/627E</t>
        </is>
      </c>
      <c r="P15" t="inlineStr">
        <is>
          <t>XIANGDANHAO</t>
        </is>
      </c>
      <c r="Q15" s="13" t="inlineStr">
        <is>
          <t>非公路用自卸车零配件</t>
        </is>
      </c>
      <c r="U15" t="n">
        <v>1</v>
      </c>
      <c r="V15" t="inlineStr">
        <is>
          <t>BGMM-SH-168</t>
        </is>
      </c>
    </row>
    <row r="16" ht="15" customHeight="1">
      <c r="A16" s="12" t="inlineStr">
        <is>
          <t>202607-PL-MAZ-2026-01-18</t>
        </is>
      </c>
      <c r="B16" t="inlineStr">
        <is>
          <t>内蒙古包头</t>
        </is>
      </c>
      <c r="C16" t="inlineStr">
        <is>
          <t>BOX-03</t>
        </is>
      </c>
      <c r="D16" t="n">
        <v>41</v>
      </c>
      <c r="E16" t="n">
        <v>41</v>
      </c>
      <c r="F16" t="n">
        <v>41</v>
      </c>
      <c r="G16" t="inlineStr">
        <is>
          <t>41*41*41</t>
        </is>
      </c>
      <c r="H16" t="n">
        <v>61</v>
      </c>
      <c r="I16" t="n">
        <v>66</v>
      </c>
      <c r="J16" t="n">
        <v>0.068921</v>
      </c>
      <c r="K16" t="inlineStr">
        <is>
          <t>SHANGHAI,CHINA</t>
        </is>
      </c>
      <c r="M16" t="inlineStr">
        <is>
          <t>jizhuangxiang02</t>
        </is>
      </c>
      <c r="N16" t="inlineStr">
        <is>
          <t>BL002</t>
        </is>
      </c>
      <c r="O16" t="inlineStr">
        <is>
          <t>SALINA/627E</t>
        </is>
      </c>
      <c r="P16" t="inlineStr">
        <is>
          <t>XIANGDANHAO</t>
        </is>
      </c>
      <c r="Q16" s="13" t="inlineStr">
        <is>
          <t>非公路用自卸车零配件</t>
        </is>
      </c>
      <c r="U16" t="n">
        <v>1</v>
      </c>
      <c r="V16" t="inlineStr">
        <is>
          <t>BGMM-SH-168</t>
        </is>
      </c>
    </row>
    <row r="17" ht="15" customHeight="1">
      <c r="A17" s="12" t="inlineStr">
        <is>
          <t>202607-PL-MAZ-2026-01-17</t>
        </is>
      </c>
      <c r="B17" t="inlineStr">
        <is>
          <t>内蒙古包头</t>
        </is>
      </c>
      <c r="C17" t="inlineStr">
        <is>
          <t>BOX-03</t>
        </is>
      </c>
      <c r="D17" t="n">
        <v>42</v>
      </c>
      <c r="E17" t="n">
        <v>42</v>
      </c>
      <c r="F17" t="n">
        <v>42</v>
      </c>
      <c r="G17" t="inlineStr">
        <is>
          <t>42*42*42</t>
        </is>
      </c>
      <c r="H17" t="n">
        <v>62</v>
      </c>
      <c r="I17" t="n">
        <v>67</v>
      </c>
      <c r="J17" t="n">
        <v>0.074088</v>
      </c>
      <c r="K17" t="inlineStr">
        <is>
          <t>SHANGHAI,CHINA</t>
        </is>
      </c>
      <c r="M17" t="inlineStr">
        <is>
          <t>jizhuangxiang02</t>
        </is>
      </c>
      <c r="N17" t="inlineStr">
        <is>
          <t>BL002</t>
        </is>
      </c>
      <c r="O17" t="inlineStr">
        <is>
          <t>SALINA/627E</t>
        </is>
      </c>
      <c r="P17" t="inlineStr">
        <is>
          <t>XIANGDANHAO</t>
        </is>
      </c>
      <c r="Q17" s="13" t="inlineStr">
        <is>
          <t>非公路用自卸车零配件</t>
        </is>
      </c>
      <c r="U17" t="n">
        <v>1</v>
      </c>
      <c r="V17" t="inlineStr">
        <is>
          <t>BGMM-SH-168</t>
        </is>
      </c>
    </row>
    <row r="18" ht="15" customHeight="1">
      <c r="A18" s="12" t="inlineStr">
        <is>
          <t>202607-PL-MAZ-2026-01-16</t>
        </is>
      </c>
      <c r="B18" t="inlineStr">
        <is>
          <t>内蒙古包头</t>
        </is>
      </c>
      <c r="C18" t="inlineStr">
        <is>
          <t>BOX-03</t>
        </is>
      </c>
      <c r="D18" t="n">
        <v>43</v>
      </c>
      <c r="E18" t="n">
        <v>43</v>
      </c>
      <c r="F18" t="n">
        <v>43</v>
      </c>
      <c r="G18" t="inlineStr">
        <is>
          <t>43*43*43</t>
        </is>
      </c>
      <c r="H18" t="n">
        <v>63</v>
      </c>
      <c r="I18" t="n">
        <v>68</v>
      </c>
      <c r="J18" t="n">
        <v>0.07950699999999999</v>
      </c>
      <c r="K18" t="inlineStr">
        <is>
          <t>SHANGHAI,CHINA</t>
        </is>
      </c>
      <c r="M18" t="inlineStr">
        <is>
          <t>jizhuangxiang02</t>
        </is>
      </c>
      <c r="N18" t="inlineStr">
        <is>
          <t>BL002</t>
        </is>
      </c>
      <c r="O18" t="inlineStr">
        <is>
          <t>SALINA/627E</t>
        </is>
      </c>
      <c r="P18" t="inlineStr">
        <is>
          <t>XIANGDANHAO</t>
        </is>
      </c>
      <c r="Q18" s="13" t="inlineStr">
        <is>
          <t>非公路用自卸车零配件</t>
        </is>
      </c>
      <c r="U18" t="n">
        <v>1</v>
      </c>
      <c r="V18" t="inlineStr">
        <is>
          <t>BGMM-SH-168</t>
        </is>
      </c>
    </row>
    <row r="19" ht="15" customHeight="1">
      <c r="A19" s="12" t="inlineStr">
        <is>
          <t>202607-PL-MAZ-2026-01-15</t>
        </is>
      </c>
      <c r="B19" t="inlineStr">
        <is>
          <t>内蒙古包头</t>
        </is>
      </c>
      <c r="C19" t="inlineStr">
        <is>
          <t>BOX-04</t>
        </is>
      </c>
      <c r="D19" t="n">
        <v>44</v>
      </c>
      <c r="E19" t="n">
        <v>44</v>
      </c>
      <c r="F19" t="n">
        <v>44</v>
      </c>
      <c r="G19" t="inlineStr">
        <is>
          <t>44*44*44</t>
        </is>
      </c>
      <c r="H19" t="n">
        <v>64</v>
      </c>
      <c r="I19" t="n">
        <v>69</v>
      </c>
      <c r="J19" t="n">
        <v>0.085184</v>
      </c>
      <c r="K19" t="inlineStr">
        <is>
          <t>SHANGHAI,CHINA</t>
        </is>
      </c>
      <c r="M19" t="inlineStr">
        <is>
          <t>jizhuangxiang02</t>
        </is>
      </c>
      <c r="N19" t="inlineStr">
        <is>
          <t>BL002</t>
        </is>
      </c>
      <c r="O19" t="inlineStr">
        <is>
          <t>SALINA/627E</t>
        </is>
      </c>
      <c r="P19" t="inlineStr">
        <is>
          <t>XIANGDANHAO</t>
        </is>
      </c>
      <c r="Q19" s="13" t="inlineStr">
        <is>
          <t>非公路用自卸车零配件</t>
        </is>
      </c>
      <c r="U19" t="n">
        <v>1</v>
      </c>
      <c r="V19" t="inlineStr">
        <is>
          <t>BGMM-SH-188</t>
        </is>
      </c>
    </row>
    <row r="20" ht="15" customHeight="1">
      <c r="A20" s="12" t="inlineStr">
        <is>
          <t>202607-PL-MAZ-2026-01-14</t>
        </is>
      </c>
      <c r="B20" t="inlineStr">
        <is>
          <t>内蒙古包头</t>
        </is>
      </c>
      <c r="C20" t="inlineStr">
        <is>
          <t>BOX-04</t>
        </is>
      </c>
      <c r="D20" t="n">
        <v>45</v>
      </c>
      <c r="E20" t="n">
        <v>45</v>
      </c>
      <c r="F20" t="n">
        <v>45</v>
      </c>
      <c r="G20" t="inlineStr">
        <is>
          <t>45*45*45</t>
        </is>
      </c>
      <c r="H20" t="n">
        <v>65</v>
      </c>
      <c r="I20" t="n">
        <v>70</v>
      </c>
      <c r="J20" t="n">
        <v>0.091125</v>
      </c>
      <c r="K20" t="inlineStr">
        <is>
          <t>SHANGHAI,CHINA</t>
        </is>
      </c>
      <c r="M20" t="inlineStr">
        <is>
          <t>jizhuangxiang02</t>
        </is>
      </c>
      <c r="N20" t="inlineStr">
        <is>
          <t>BL002</t>
        </is>
      </c>
      <c r="O20" t="inlineStr">
        <is>
          <t>SALINA/627E</t>
        </is>
      </c>
      <c r="P20" t="inlineStr">
        <is>
          <t>XIANGDANHAO</t>
        </is>
      </c>
      <c r="Q20" s="13" t="inlineStr">
        <is>
          <t>非公路用自卸车零配件</t>
        </is>
      </c>
      <c r="U20" t="n">
        <v>1</v>
      </c>
      <c r="V20" t="inlineStr">
        <is>
          <t>BGMM-SH-188</t>
        </is>
      </c>
    </row>
    <row r="21" ht="15" customHeight="1">
      <c r="A21" s="12" t="inlineStr">
        <is>
          <t>202607-PL-MAZ-2026-01-13</t>
        </is>
      </c>
      <c r="B21" t="inlineStr">
        <is>
          <t>内蒙古包头</t>
        </is>
      </c>
      <c r="C21" t="inlineStr">
        <is>
          <t>BOX-04</t>
        </is>
      </c>
      <c r="D21" t="n">
        <v>46</v>
      </c>
      <c r="E21" t="n">
        <v>46</v>
      </c>
      <c r="F21" t="n">
        <v>46</v>
      </c>
      <c r="G21" t="inlineStr">
        <is>
          <t>46*46*46</t>
        </is>
      </c>
      <c r="H21" t="n">
        <v>66</v>
      </c>
      <c r="I21" t="n">
        <v>71</v>
      </c>
      <c r="J21" t="n">
        <v>0.09733600000000001</v>
      </c>
      <c r="K21" t="inlineStr">
        <is>
          <t>SHANGHAI,CHINA</t>
        </is>
      </c>
      <c r="M21" t="inlineStr">
        <is>
          <t>jizhuangxiang02</t>
        </is>
      </c>
      <c r="N21" t="inlineStr">
        <is>
          <t>BL002</t>
        </is>
      </c>
      <c r="O21" t="inlineStr">
        <is>
          <t>SALINA/627E</t>
        </is>
      </c>
      <c r="P21" t="inlineStr">
        <is>
          <t>XIANGDANHAO</t>
        </is>
      </c>
      <c r="Q21" s="13" t="inlineStr">
        <is>
          <t>非公路用自卸车零配件</t>
        </is>
      </c>
      <c r="U21" t="n">
        <v>1</v>
      </c>
      <c r="V21" t="inlineStr">
        <is>
          <t>BGMM-SH-188</t>
        </is>
      </c>
    </row>
    <row r="22" ht="15" customHeight="1">
      <c r="A22" s="12" t="inlineStr">
        <is>
          <t>202607-PL-MAZ-2026-01-12</t>
        </is>
      </c>
      <c r="B22" t="inlineStr">
        <is>
          <t>内蒙古包头</t>
        </is>
      </c>
      <c r="C22" t="inlineStr">
        <is>
          <t>BOX-04</t>
        </is>
      </c>
      <c r="D22" t="n">
        <v>47</v>
      </c>
      <c r="E22" t="n">
        <v>47</v>
      </c>
      <c r="F22" t="n">
        <v>47</v>
      </c>
      <c r="G22" t="inlineStr">
        <is>
          <t>47*47*47</t>
        </is>
      </c>
      <c r="H22" t="n">
        <v>67</v>
      </c>
      <c r="I22" t="n">
        <v>72</v>
      </c>
      <c r="J22" t="n">
        <v>0.103823</v>
      </c>
      <c r="K22" t="inlineStr">
        <is>
          <t>SHANGHAI,CHINA</t>
        </is>
      </c>
      <c r="M22" t="inlineStr">
        <is>
          <t>jizhuangxiang02</t>
        </is>
      </c>
      <c r="N22" t="inlineStr">
        <is>
          <t>BL002</t>
        </is>
      </c>
      <c r="O22" t="inlineStr">
        <is>
          <t>SALINA/627E</t>
        </is>
      </c>
      <c r="P22" t="inlineStr">
        <is>
          <t>XIANGDANHAO</t>
        </is>
      </c>
      <c r="Q22" s="13" t="inlineStr">
        <is>
          <t>非公路用自卸车零配件</t>
        </is>
      </c>
      <c r="U22" t="n">
        <v>1</v>
      </c>
      <c r="V22" t="inlineStr">
        <is>
          <t>BGMM-SH-188</t>
        </is>
      </c>
    </row>
  </sheetData>
  <autoFilter ref="A4:AH22"/>
  <mergeCells count="1">
    <mergeCell ref="A1:E2"/>
  </mergeCells>
  <pageMargins left="0.75" right="0.75" top="1" bottom="1" header="0.5" footer="0.5"/>
  <legacyDrawing xmlns:r="http://schemas.openxmlformats.org/officeDocument/2006/relationships" r:id="anysvml"/>
</worksheet>
</file>

<file path=xl/worksheets/sheet22.xml><?xml version="1.0" encoding="utf-8"?>
<worksheet xmlns="http://schemas.openxmlformats.org/spreadsheetml/2006/main">
  <sheetPr codeName="Sheet3">
    <tabColor rgb="FF5B9BD5"/>
    <outlinePr summaryBelow="1" summaryRight="1"/>
    <pageSetUpPr/>
  </sheetPr>
  <dimension ref="A1:J1"/>
  <sheetViews>
    <sheetView workbookViewId="0">
      <pane ySplit="1" topLeftCell="A2" activePane="bottomLeft" state="frozen"/>
      <selection activeCell="A1" sqref="A1"/>
      <selection pane="bottomLeft" activeCell="G26" sqref="G26:G27"/>
    </sheetView>
  </sheetViews>
  <sheetFormatPr baseColWidth="8" defaultColWidth="9" defaultRowHeight="13.5"/>
  <cols>
    <col width="14" customWidth="1" min="1" max="10"/>
  </cols>
  <sheetData>
    <row r="1" ht="22.05" customHeight="1">
      <c r="A1" s="5" t="inlineStr">
        <is>
          <t>项目编号</t>
        </is>
      </c>
      <c r="B1" s="5" t="inlineStr">
        <is>
          <t>项目名称</t>
        </is>
      </c>
      <c r="C1" s="6" t="inlineStr">
        <is>
          <t>年度</t>
        </is>
      </c>
      <c r="D1" s="6" t="inlineStr">
        <is>
          <t>项目类型</t>
        </is>
      </c>
      <c r="E1" s="6" t="inlineStr">
        <is>
          <t>来源</t>
        </is>
      </c>
      <c r="F1" s="6" t="inlineStr">
        <is>
          <t>客户名称</t>
        </is>
      </c>
      <c r="G1" s="6" t="inlineStr">
        <is>
          <t>开始日期</t>
        </is>
      </c>
      <c r="H1" s="6" t="inlineStr">
        <is>
          <t>结束日期</t>
        </is>
      </c>
      <c r="I1" s="6" t="inlineStr">
        <is>
          <t>状态</t>
        </is>
      </c>
      <c r="J1" s="6" t="inlineStr">
        <is>
          <t>备注</t>
        </is>
      </c>
    </row>
  </sheetData>
  <autoFilter ref="A1:J1"/>
  <pageMargins left="0.75" right="0.75" top="1" bottom="1" header="0.5" footer="0.5"/>
  <legacyDrawing xmlns:r="http://schemas.openxmlformats.org/officeDocument/2006/relationships" r:id="anysvml"/>
</worksheet>
</file>

<file path=xl/worksheets/sheet23.xml><?xml version="1.0" encoding="utf-8"?>
<worksheet xmlns="http://schemas.openxmlformats.org/spreadsheetml/2006/main">
  <sheetPr codeName="Sheet4">
    <tabColor rgb="FF5B9BD5"/>
    <outlinePr summaryBelow="1" summaryRight="1"/>
    <pageSetUpPr/>
  </sheetPr>
  <dimension ref="A1:G1"/>
  <sheetViews>
    <sheetView workbookViewId="0">
      <pane ySplit="1" topLeftCell="A2" activePane="bottomLeft" state="frozen"/>
      <selection activeCell="A1" sqref="A1"/>
      <selection pane="bottomLeft" activeCell="I31" sqref="I31"/>
    </sheetView>
  </sheetViews>
  <sheetFormatPr baseColWidth="8" defaultColWidth="9" defaultRowHeight="13.5"/>
  <cols>
    <col width="18" customWidth="1" min="1" max="1"/>
    <col width="14" customWidth="1" min="2" max="7"/>
  </cols>
  <sheetData>
    <row r="1" ht="22.05" customHeight="1">
      <c r="A1" s="5" t="inlineStr">
        <is>
          <t>HS Code</t>
        </is>
      </c>
      <c r="B1" s="5" t="inlineStr">
        <is>
          <t>申报名称</t>
        </is>
      </c>
      <c r="C1" s="6" t="inlineStr">
        <is>
          <t>产品名称</t>
        </is>
      </c>
      <c r="D1" s="6" t="inlineStr">
        <is>
          <t>申报规格</t>
        </is>
      </c>
      <c r="E1" s="6" t="inlineStr">
        <is>
          <t>报关要素</t>
        </is>
      </c>
      <c r="F1" s="6" t="inlineStr">
        <is>
          <t>描述</t>
        </is>
      </c>
      <c r="G1" s="6" t="inlineStr">
        <is>
          <t>状态</t>
        </is>
      </c>
    </row>
  </sheetData>
  <autoFilter ref="A1:G1"/>
  <pageMargins left="0.75" right="0.75" top="1" bottom="1" header="0.5" footer="0.5"/>
  <legacyDrawing xmlns:r="http://schemas.openxmlformats.org/officeDocument/2006/relationships" r:id="anysvml"/>
</worksheet>
</file>

<file path=xl/worksheets/sheet24.xml><?xml version="1.0" encoding="utf-8"?>
<worksheet xmlns="http://schemas.openxmlformats.org/spreadsheetml/2006/main">
  <sheetPr codeName="Sheet5">
    <tabColor rgb="FF5B9BD5"/>
    <outlinePr summaryBelow="1" summaryRight="1"/>
    <pageSetUpPr/>
  </sheetPr>
  <dimension ref="A1:E2"/>
  <sheetViews>
    <sheetView workbookViewId="0">
      <pane ySplit="1" topLeftCell="A2" activePane="bottomLeft" state="frozen"/>
      <selection activeCell="A1" sqref="A1"/>
      <selection pane="bottomLeft" activeCell="H5" sqref="H5"/>
    </sheetView>
  </sheetViews>
  <sheetFormatPr baseColWidth="8" defaultColWidth="9" defaultRowHeight="13.5" outlineLevelRow="1"/>
  <cols>
    <col width="14" customWidth="1" min="1" max="5"/>
  </cols>
  <sheetData>
    <row r="1" ht="22.05" customHeight="1">
      <c r="A1" s="5" t="inlineStr">
        <is>
          <t>年</t>
        </is>
      </c>
      <c r="B1" s="5" t="inlineStr">
        <is>
          <t>月</t>
        </is>
      </c>
      <c r="C1" s="6" t="inlineStr">
        <is>
          <t>币种</t>
        </is>
      </c>
      <c r="D1" s="5" t="inlineStr">
        <is>
          <t>汇率</t>
        </is>
      </c>
      <c r="E1" s="6" t="inlineStr">
        <is>
          <t>生效日期</t>
        </is>
      </c>
    </row>
    <row r="2">
      <c r="A2" t="n">
        <v>2026</v>
      </c>
      <c r="B2" t="n">
        <v>1</v>
      </c>
      <c r="C2" t="inlineStr">
        <is>
          <t>美元</t>
        </is>
      </c>
      <c r="D2" t="n">
        <v>7.023</v>
      </c>
      <c r="E2" s="7" t="n">
        <v>46023</v>
      </c>
    </row>
  </sheetData>
  <autoFilter ref="A1:E2"/>
  <pageMargins left="0.75" right="0.75" top="1" bottom="1" header="0.5" footer="0.5"/>
  <legacyDrawing xmlns:r="http://schemas.openxmlformats.org/officeDocument/2006/relationships" r:id="anysvml"/>
</worksheet>
</file>

<file path=xl/worksheets/sheet25.xml><?xml version="1.0" encoding="utf-8"?>
<worksheet xmlns="http://schemas.openxmlformats.org/spreadsheetml/2006/main">
  <sheetPr codeName="Sheet21">
    <outlinePr summaryBelow="1" summaryRight="1"/>
    <pageSetUpPr/>
  </sheetPr>
  <dimension ref="A1:D266"/>
  <sheetViews>
    <sheetView workbookViewId="0">
      <pane ySplit="1" topLeftCell="A59" activePane="bottomLeft" state="frozen"/>
      <selection activeCell="A1" sqref="A1"/>
      <selection pane="bottomLeft" activeCell="D103" sqref="D103"/>
    </sheetView>
  </sheetViews>
  <sheetFormatPr baseColWidth="8" defaultColWidth="9" defaultRowHeight="13.5"/>
  <cols>
    <col width="22" customWidth="1" min="1" max="1"/>
    <col width="18" customWidth="1" min="2" max="2"/>
    <col width="12" customWidth="1" min="3" max="3"/>
    <col width="80" customWidth="1" min="4" max="4"/>
  </cols>
  <sheetData>
    <row r="1">
      <c r="A1" s="2" t="inlineStr">
        <is>
          <t>时间</t>
        </is>
      </c>
      <c r="B1" s="2" t="inlineStr">
        <is>
          <t>工作表</t>
        </is>
      </c>
      <c r="C1" s="2" t="inlineStr">
        <is>
          <t>结果</t>
        </is>
      </c>
      <c r="D1" s="2" t="inlineStr">
        <is>
          <t>说明</t>
        </is>
      </c>
    </row>
    <row r="2">
      <c r="A2" s="76" t="n">
        <v>46297.74899305555</v>
      </c>
      <c r="B2" t="inlineStr">
        <is>
          <t>使用说明</t>
        </is>
      </c>
      <c r="C2" t="inlineStr">
        <is>
          <t>失败</t>
        </is>
      </c>
      <c r="D2" t="inlineStr">
        <is>
          <t>请先填写服务器、用户名和密码。</t>
        </is>
      </c>
    </row>
    <row r="3">
      <c r="A3" s="76" t="n">
        <v>46297.74940972222</v>
      </c>
      <c r="B3" t="inlineStr">
        <is>
          <t>使用说明</t>
        </is>
      </c>
      <c r="C3" t="inlineStr">
        <is>
          <t>失败</t>
        </is>
      </c>
      <c r="D3" t="inlineStr">
        <is>
          <t>找不到公司：星河科技</t>
        </is>
      </c>
    </row>
    <row r="4">
      <c r="A4" s="76" t="n">
        <v>46297.74951388889</v>
      </c>
      <c r="B4" t="inlineStr">
        <is>
          <t>使用说明</t>
        </is>
      </c>
      <c r="C4" t="inlineStr">
        <is>
          <t>失败</t>
        </is>
      </c>
      <c r="D4" t="inlineStr">
        <is>
          <t>找不到公司：星河科技</t>
        </is>
      </c>
    </row>
    <row r="5">
      <c r="A5" s="76" t="n">
        <v>46297.74957175926</v>
      </c>
      <c r="B5" t="inlineStr">
        <is>
          <t>使用说明</t>
        </is>
      </c>
      <c r="C5" t="inlineStr">
        <is>
          <t>成功</t>
        </is>
      </c>
      <c r="D5" t="inlineStr">
        <is>
          <t>登录成功</t>
        </is>
      </c>
    </row>
    <row r="6">
      <c r="A6" s="76" t="n">
        <v>46297.74959490741</v>
      </c>
      <c r="B6" t="inlineStr">
        <is>
          <t>使用说明</t>
        </is>
      </c>
      <c r="C6" t="inlineStr">
        <is>
          <t>失败</t>
        </is>
      </c>
      <c r="D6" t="inlineStr">
        <is>
          <t>请先点开要导入的工作表，或使用「按顺序导入全部」。</t>
        </is>
      </c>
    </row>
    <row r="7">
      <c r="A7" s="76" t="n">
        <v>46297.75069444445</v>
      </c>
      <c r="B7" t="inlineStr">
        <is>
          <t>报关物料清单</t>
        </is>
      </c>
      <c r="C7" t="inlineStr">
        <is>
          <t>失败</t>
        </is>
      </c>
      <c r="D7" t="inlineStr">
        <is>
          <t>请先在「使用说明」登录。</t>
        </is>
      </c>
    </row>
    <row r="8">
      <c r="A8" s="76" t="n">
        <v>46297.75074074074</v>
      </c>
      <c r="B8" t="inlineStr">
        <is>
          <t>使用说明</t>
        </is>
      </c>
      <c r="C8" t="inlineStr">
        <is>
          <t>成功</t>
        </is>
      </c>
      <c r="D8" t="inlineStr">
        <is>
          <t>登录成功</t>
        </is>
      </c>
    </row>
    <row r="9">
      <c r="A9" s="76" t="n">
        <v>46297.76082175926</v>
      </c>
      <c r="B9" t="inlineStr">
        <is>
          <t>使用说明</t>
        </is>
      </c>
      <c r="C9" t="inlineStr">
        <is>
          <t>失败</t>
        </is>
      </c>
      <c r="D9" t="inlineStr">
        <is>
          <t>请先在「使用说明」登录。</t>
        </is>
      </c>
    </row>
    <row r="10">
      <c r="A10" s="76" t="n">
        <v>46297.76084490741</v>
      </c>
      <c r="B10" t="inlineStr">
        <is>
          <t>使用说明</t>
        </is>
      </c>
      <c r="C10" t="inlineStr">
        <is>
          <t>成功</t>
        </is>
      </c>
      <c r="D10" t="inlineStr">
        <is>
          <t>登录成功</t>
        </is>
      </c>
    </row>
    <row r="11">
      <c r="A11" s="76" t="n">
        <v>46297.76086805556</v>
      </c>
      <c r="B11" t="inlineStr">
        <is>
          <t>使用说明</t>
        </is>
      </c>
      <c r="C11" t="inlineStr">
        <is>
          <t>失败</t>
        </is>
      </c>
      <c r="D11" t="inlineStr">
        <is>
          <t>请先点开要导入的工作表，或使用「按顺序导入全部」。</t>
        </is>
      </c>
    </row>
    <row r="12">
      <c r="A12" s="76" t="n">
        <v>46297.78034722222</v>
      </c>
      <c r="B12" t="inlineStr">
        <is>
          <t>采购合同</t>
        </is>
      </c>
      <c r="C12" t="inlineStr">
        <is>
          <t>失败</t>
        </is>
      </c>
      <c r="D12" t="inlineStr">
        <is>
          <t>请先在「使用说明」登录。</t>
        </is>
      </c>
    </row>
    <row r="13">
      <c r="A13" s="76" t="n">
        <v>46297.78040509259</v>
      </c>
      <c r="B13" t="inlineStr">
        <is>
          <t>使用说明</t>
        </is>
      </c>
      <c r="C13" t="inlineStr">
        <is>
          <t>成功</t>
        </is>
      </c>
      <c r="D13" t="inlineStr">
        <is>
          <t>登录成功</t>
        </is>
      </c>
    </row>
    <row r="14">
      <c r="A14" s="76" t="n">
        <v>46297.7809375</v>
      </c>
      <c r="B14" t="inlineStr">
        <is>
          <t>全部</t>
        </is>
      </c>
      <c r="C14" t="inlineStr">
        <is>
          <t>失败</t>
        </is>
      </c>
      <c r="D14" t="inlineStr">
        <is>
          <t>请先在「使用说明」登录。</t>
        </is>
      </c>
    </row>
    <row r="15">
      <c r="A15" s="76" t="n">
        <v>46297.78096064815</v>
      </c>
      <c r="B15" t="inlineStr">
        <is>
          <t>使用说明</t>
        </is>
      </c>
      <c r="C15" t="inlineStr">
        <is>
          <t>成功</t>
        </is>
      </c>
      <c r="D15" t="inlineStr">
        <is>
          <t>登录成功</t>
        </is>
      </c>
    </row>
    <row r="16">
      <c r="A16" s="76" t="n">
        <v>46297.7809837963</v>
      </c>
      <c r="B16" t="inlineStr">
        <is>
          <t>公司管理</t>
        </is>
      </c>
      <c r="C16" t="inlineStr">
        <is>
          <t>跳过</t>
        </is>
      </c>
      <c r="D16" t="inlineStr">
        <is>
          <t>没有数据行</t>
        </is>
      </c>
    </row>
    <row r="17">
      <c r="A17" s="76" t="n">
        <v>46297.7809837963</v>
      </c>
      <c r="B17" t="inlineStr">
        <is>
          <t>合同类型</t>
        </is>
      </c>
      <c r="C17" t="inlineStr">
        <is>
          <t>跳过</t>
        </is>
      </c>
      <c r="D17" t="inlineStr">
        <is>
          <t>没有数据行</t>
        </is>
      </c>
    </row>
    <row r="18">
      <c r="A18" s="76" t="n">
        <v>46297.7809837963</v>
      </c>
      <c r="B18" t="inlineStr">
        <is>
          <t>资金账户</t>
        </is>
      </c>
      <c r="C18" t="inlineStr">
        <is>
          <t>跳过</t>
        </is>
      </c>
      <c r="D18" t="inlineStr">
        <is>
          <t>没有数据行</t>
        </is>
      </c>
    </row>
    <row r="19">
      <c r="A19" s="76" t="n">
        <v>46297.7809837963</v>
      </c>
      <c r="B19" t="inlineStr">
        <is>
          <t>客商</t>
        </is>
      </c>
      <c r="C19" t="inlineStr">
        <is>
          <t>跳过</t>
        </is>
      </c>
      <c r="D19" t="inlineStr">
        <is>
          <t>没有数据行</t>
        </is>
      </c>
    </row>
    <row r="20">
      <c r="A20" s="76" t="n">
        <v>46297.7809837963</v>
      </c>
      <c r="B20" t="inlineStr">
        <is>
          <t>项目</t>
        </is>
      </c>
      <c r="C20" t="inlineStr">
        <is>
          <t>跳过</t>
        </is>
      </c>
      <c r="D20" t="inlineStr">
        <is>
          <t>没有数据行</t>
        </is>
      </c>
    </row>
    <row r="21">
      <c r="A21" s="76" t="n">
        <v>46297.7809837963</v>
      </c>
      <c r="B21" t="inlineStr">
        <is>
          <t>HSCode库</t>
        </is>
      </c>
      <c r="C21" t="inlineStr">
        <is>
          <t>跳过</t>
        </is>
      </c>
      <c r="D21" t="inlineStr">
        <is>
          <t>没有数据行</t>
        </is>
      </c>
    </row>
    <row r="22">
      <c r="A22" s="76" t="n">
        <v>46297.7809837963</v>
      </c>
      <c r="B22" t="inlineStr">
        <is>
          <t>汇率库</t>
        </is>
      </c>
      <c r="C22" t="inlineStr">
        <is>
          <t>跳过</t>
        </is>
      </c>
      <c r="D22" t="inlineStr">
        <is>
          <t>没有数据行</t>
        </is>
      </c>
    </row>
    <row r="23">
      <c r="A23" s="76" t="n">
        <v>46297.7809837963</v>
      </c>
      <c r="B23" t="inlineStr">
        <is>
          <t>商品</t>
        </is>
      </c>
      <c r="C23" t="inlineStr">
        <is>
          <t>跳过</t>
        </is>
      </c>
      <c r="D23" t="inlineStr">
        <is>
          <t>没有数据行</t>
        </is>
      </c>
    </row>
    <row r="24">
      <c r="A24" s="76" t="n">
        <v>46297.7809837963</v>
      </c>
      <c r="B24" t="inlineStr">
        <is>
          <t>采购计划</t>
        </is>
      </c>
      <c r="C24" t="inlineStr">
        <is>
          <t>跳过</t>
        </is>
      </c>
      <c r="D24" t="inlineStr">
        <is>
          <t>没有数据行</t>
        </is>
      </c>
    </row>
    <row r="25">
      <c r="A25" s="76" t="n">
        <v>46297.850625</v>
      </c>
      <c r="B25" t="inlineStr">
        <is>
          <t>采购合同</t>
        </is>
      </c>
      <c r="C25" t="inlineStr">
        <is>
          <t>失败</t>
        </is>
      </c>
      <c r="D25" t="inlineStr">
        <is>
          <t>请先在「使用说明」登录。</t>
        </is>
      </c>
    </row>
    <row r="26">
      <c r="A26" s="76" t="n">
        <v>46297.85085648148</v>
      </c>
      <c r="B26" t="inlineStr">
        <is>
          <t>使用说明</t>
        </is>
      </c>
      <c r="C26" t="inlineStr">
        <is>
          <t>成功</t>
        </is>
      </c>
      <c r="D26" t="inlineStr">
        <is>
          <t>登录成功</t>
        </is>
      </c>
    </row>
    <row r="27">
      <c r="A27" s="4" t="n">
        <v>46297.88688657407</v>
      </c>
      <c r="B27" t="inlineStr">
        <is>
          <t>使用说明</t>
        </is>
      </c>
      <c r="C27" t="inlineStr">
        <is>
          <t>成功</t>
        </is>
      </c>
      <c r="D27" t="inlineStr">
        <is>
          <t>登录成功</t>
        </is>
      </c>
    </row>
    <row r="28">
      <c r="A28" s="4" t="n">
        <v>46297.88690972222</v>
      </c>
      <c r="B28" t="inlineStr">
        <is>
          <t>公司管理</t>
        </is>
      </c>
      <c r="C28" t="inlineStr">
        <is>
          <t>跳过</t>
        </is>
      </c>
      <c r="D28" t="inlineStr">
        <is>
          <t>没有数据行</t>
        </is>
      </c>
    </row>
    <row r="29">
      <c r="A29" s="4" t="n">
        <v>46297.88690972222</v>
      </c>
      <c r="B29" t="inlineStr">
        <is>
          <t>合同类型</t>
        </is>
      </c>
      <c r="C29" t="inlineStr">
        <is>
          <t>跳过</t>
        </is>
      </c>
      <c r="D29" t="inlineStr">
        <is>
          <t>没有数据行</t>
        </is>
      </c>
    </row>
    <row r="30">
      <c r="A30" s="4" t="n">
        <v>46297.88690972222</v>
      </c>
      <c r="B30" t="inlineStr">
        <is>
          <t>资金账户</t>
        </is>
      </c>
      <c r="C30" t="inlineStr">
        <is>
          <t>跳过</t>
        </is>
      </c>
      <c r="D30" t="inlineStr">
        <is>
          <t>没有数据行</t>
        </is>
      </c>
    </row>
    <row r="31">
      <c r="A31" s="4" t="n">
        <v>46297.88690972222</v>
      </c>
      <c r="B31" t="inlineStr">
        <is>
          <t>客商</t>
        </is>
      </c>
      <c r="C31" t="inlineStr">
        <is>
          <t>跳过</t>
        </is>
      </c>
      <c r="D31" t="inlineStr">
        <is>
          <t>没有数据行</t>
        </is>
      </c>
    </row>
    <row r="32">
      <c r="A32" s="4" t="n">
        <v>46297.88690972222</v>
      </c>
      <c r="B32" t="inlineStr">
        <is>
          <t>项目</t>
        </is>
      </c>
      <c r="C32" t="inlineStr">
        <is>
          <t>跳过</t>
        </is>
      </c>
      <c r="D32" t="inlineStr">
        <is>
          <t>没有数据行</t>
        </is>
      </c>
    </row>
    <row r="33">
      <c r="A33" s="4" t="n">
        <v>46297.88690972222</v>
      </c>
      <c r="B33" t="inlineStr">
        <is>
          <t>HSCode库</t>
        </is>
      </c>
      <c r="C33" t="inlineStr">
        <is>
          <t>跳过</t>
        </is>
      </c>
      <c r="D33" t="inlineStr">
        <is>
          <t>没有数据行</t>
        </is>
      </c>
    </row>
    <row r="34">
      <c r="A34" s="4" t="n">
        <v>46297.88690972222</v>
      </c>
      <c r="B34" t="inlineStr">
        <is>
          <t>汇率库</t>
        </is>
      </c>
      <c r="C34" t="inlineStr">
        <is>
          <t>跳过</t>
        </is>
      </c>
      <c r="D34" t="inlineStr">
        <is>
          <t>没有数据行</t>
        </is>
      </c>
    </row>
    <row r="35">
      <c r="A35" s="4" t="n">
        <v>46297.88690972222</v>
      </c>
      <c r="B35" t="inlineStr">
        <is>
          <t>商品</t>
        </is>
      </c>
      <c r="C35" t="inlineStr">
        <is>
          <t>跳过</t>
        </is>
      </c>
      <c r="D35" t="inlineStr">
        <is>
          <t>没有数据行</t>
        </is>
      </c>
    </row>
    <row r="36">
      <c r="A36" s="4" t="n">
        <v>46297.88690972222</v>
      </c>
      <c r="B36" t="inlineStr">
        <is>
          <t>采购计划</t>
        </is>
      </c>
      <c r="C36" t="inlineStr">
        <is>
          <t>跳过</t>
        </is>
      </c>
      <c r="D36" t="inlineStr">
        <is>
          <t>没有数据行</t>
        </is>
      </c>
    </row>
    <row r="37">
      <c r="A37" s="4" t="n">
        <v>46297.88690972222</v>
      </c>
      <c r="B37" t="inlineStr">
        <is>
          <t>全部</t>
        </is>
      </c>
      <c r="C37" t="inlineStr">
        <is>
          <t>失败</t>
        </is>
      </c>
      <c r="D37" t="inlineStr">
        <is>
          <t>86ï¼JSON decode error</t>
        </is>
      </c>
    </row>
    <row r="38">
      <c r="A38" s="4" t="n">
        <v>46297.88719907407</v>
      </c>
      <c r="B38" t="inlineStr">
        <is>
          <t>公司管理</t>
        </is>
      </c>
      <c r="C38" t="inlineStr">
        <is>
          <t>跳过</t>
        </is>
      </c>
      <c r="D38" t="inlineStr">
        <is>
          <t>没有数据行</t>
        </is>
      </c>
    </row>
    <row r="39">
      <c r="A39" s="4" t="n">
        <v>46297.88719907407</v>
      </c>
      <c r="B39" t="inlineStr">
        <is>
          <t>合同类型</t>
        </is>
      </c>
      <c r="C39" t="inlineStr">
        <is>
          <t>跳过</t>
        </is>
      </c>
      <c r="D39" t="inlineStr">
        <is>
          <t>没有数据行</t>
        </is>
      </c>
    </row>
    <row r="40">
      <c r="A40" s="4" t="n">
        <v>46297.88719907407</v>
      </c>
      <c r="B40" t="inlineStr">
        <is>
          <t>资金账户</t>
        </is>
      </c>
      <c r="C40" t="inlineStr">
        <is>
          <t>跳过</t>
        </is>
      </c>
      <c r="D40" t="inlineStr">
        <is>
          <t>没有数据行</t>
        </is>
      </c>
    </row>
    <row r="41">
      <c r="A41" s="4" t="n">
        <v>46297.88719907407</v>
      </c>
      <c r="B41" t="inlineStr">
        <is>
          <t>客商</t>
        </is>
      </c>
      <c r="C41" t="inlineStr">
        <is>
          <t>跳过</t>
        </is>
      </c>
      <c r="D41" t="inlineStr">
        <is>
          <t>没有数据行</t>
        </is>
      </c>
    </row>
    <row r="42">
      <c r="A42" s="4" t="n">
        <v>46297.88719907407</v>
      </c>
      <c r="B42" t="inlineStr">
        <is>
          <t>项目</t>
        </is>
      </c>
      <c r="C42" t="inlineStr">
        <is>
          <t>跳过</t>
        </is>
      </c>
      <c r="D42" t="inlineStr">
        <is>
          <t>没有数据行</t>
        </is>
      </c>
    </row>
    <row r="43">
      <c r="A43" s="4" t="n">
        <v>46297.88719907407</v>
      </c>
      <c r="B43" t="inlineStr">
        <is>
          <t>HSCode库</t>
        </is>
      </c>
      <c r="C43" t="inlineStr">
        <is>
          <t>跳过</t>
        </is>
      </c>
      <c r="D43" t="inlineStr">
        <is>
          <t>没有数据行</t>
        </is>
      </c>
    </row>
    <row r="44">
      <c r="A44" s="4" t="n">
        <v>46297.88719907407</v>
      </c>
      <c r="B44" t="inlineStr">
        <is>
          <t>汇率库</t>
        </is>
      </c>
      <c r="C44" t="inlineStr">
        <is>
          <t>跳过</t>
        </is>
      </c>
      <c r="D44" t="inlineStr">
        <is>
          <t>没有数据行</t>
        </is>
      </c>
    </row>
    <row r="45">
      <c r="A45" s="4" t="n">
        <v>46297.88719907407</v>
      </c>
      <c r="B45" t="inlineStr">
        <is>
          <t>商品</t>
        </is>
      </c>
      <c r="C45" t="inlineStr">
        <is>
          <t>跳过</t>
        </is>
      </c>
      <c r="D45" t="inlineStr">
        <is>
          <t>没有数据行</t>
        </is>
      </c>
    </row>
    <row r="46">
      <c r="A46" s="4" t="n">
        <v>46297.88719907407</v>
      </c>
      <c r="B46" t="inlineStr">
        <is>
          <t>采购计划</t>
        </is>
      </c>
      <c r="C46" t="inlineStr">
        <is>
          <t>跳过</t>
        </is>
      </c>
      <c r="D46" t="inlineStr">
        <is>
          <t>没有数据行</t>
        </is>
      </c>
    </row>
    <row r="47">
      <c r="A47" s="4" t="n">
        <v>46297.88719907407</v>
      </c>
      <c r="B47" t="inlineStr">
        <is>
          <t>全部</t>
        </is>
      </c>
      <c r="C47" t="inlineStr">
        <is>
          <t>失败</t>
        </is>
      </c>
      <c r="D47" t="inlineStr">
        <is>
          <t>86ï¼JSON decode error</t>
        </is>
      </c>
    </row>
    <row r="48">
      <c r="A48" s="4" t="n">
        <v>46297.88732638889</v>
      </c>
      <c r="B48" t="inlineStr">
        <is>
          <t>采购合同</t>
        </is>
      </c>
      <c r="C48" t="inlineStr">
        <is>
          <t>失败</t>
        </is>
      </c>
      <c r="D48" t="inlineStr">
        <is>
          <t>86ï¼JSON decode error</t>
        </is>
      </c>
    </row>
    <row r="49">
      <c r="A49" s="4" t="n">
        <v>46297.89929398148</v>
      </c>
      <c r="B49" t="inlineStr">
        <is>
          <t>使用说明</t>
        </is>
      </c>
      <c r="C49" t="inlineStr">
        <is>
          <t>成功</t>
        </is>
      </c>
      <c r="D49" t="inlineStr">
        <is>
          <t>登录成功</t>
        </is>
      </c>
    </row>
    <row r="50">
      <c r="A50" s="4" t="n">
        <v>46297.89938657408</v>
      </c>
      <c r="B50" t="inlineStr">
        <is>
          <t>采购合同</t>
        </is>
      </c>
      <c r="C50" t="inlineStr">
        <is>
          <t>成功</t>
        </is>
      </c>
      <c r="D50" t="inlineStr">
        <is>
          <t>导入 1 份合同</t>
        </is>
      </c>
    </row>
    <row r="51">
      <c r="A51" s="4" t="n">
        <v>46297.89959490741</v>
      </c>
      <c r="B51" t="inlineStr">
        <is>
          <t>采购合同</t>
        </is>
      </c>
      <c r="C51" t="inlineStr">
        <is>
          <t>成功</t>
        </is>
      </c>
      <c r="D51" t="inlineStr">
        <is>
          <t>导入 1 份合同</t>
        </is>
      </c>
    </row>
    <row r="52">
      <c r="A52" s="4" t="n">
        <v>46297.94601851852</v>
      </c>
      <c r="B52" t="inlineStr">
        <is>
          <t>使用说明</t>
        </is>
      </c>
      <c r="C52" t="inlineStr">
        <is>
          <t>成功</t>
        </is>
      </c>
      <c r="D52" t="inlineStr">
        <is>
          <t>登录成功</t>
        </is>
      </c>
    </row>
    <row r="53">
      <c r="A53" s="4" t="n">
        <v>46297.94609953704</v>
      </c>
      <c r="B53" t="inlineStr">
        <is>
          <t>报关物料清单</t>
        </is>
      </c>
      <c r="C53" t="inlineStr">
        <is>
          <t>成功</t>
        </is>
      </c>
      <c r="D53" t="inlineStr">
        <is>
          <t>导入 18 行</t>
        </is>
      </c>
    </row>
    <row r="54">
      <c r="A54" s="4" t="n">
        <v>46297.94662037037</v>
      </c>
      <c r="B54" t="inlineStr">
        <is>
          <t>报关物料清单</t>
        </is>
      </c>
      <c r="C54" t="inlineStr">
        <is>
          <t>成功</t>
        </is>
      </c>
      <c r="D54" t="inlineStr">
        <is>
          <t>导入 18 行</t>
        </is>
      </c>
    </row>
    <row r="55">
      <c r="A55" s="4" t="n">
        <v>46297.94872685185</v>
      </c>
      <c r="B55" t="inlineStr">
        <is>
          <t>报关物料清单</t>
        </is>
      </c>
      <c r="C55" t="inlineStr">
        <is>
          <t>成功</t>
        </is>
      </c>
      <c r="D55" t="inlineStr">
        <is>
          <t>导入 18 行</t>
        </is>
      </c>
    </row>
    <row r="56">
      <c r="A56" s="4" t="n">
        <v>46297.95736111111</v>
      </c>
      <c r="B56" t="inlineStr">
        <is>
          <t>使用说明</t>
        </is>
      </c>
      <c r="C56" t="inlineStr">
        <is>
          <t>成功</t>
        </is>
      </c>
      <c r="D56" t="inlineStr">
        <is>
          <t>登录成功</t>
        </is>
      </c>
    </row>
    <row r="57">
      <c r="A57" s="4" t="n">
        <v>46297.9574537037</v>
      </c>
      <c r="B57" t="inlineStr">
        <is>
          <t>汇率库</t>
        </is>
      </c>
      <c r="C57" t="inlineStr">
        <is>
          <t>失败</t>
        </is>
      </c>
      <c r="D57" t="inlineStr">
        <is>
          <t>系统错误：invalid literal for int() with base 10: '2026.'</t>
        </is>
      </c>
    </row>
    <row r="58">
      <c r="A58" s="4" t="n">
        <v>46297.95769675926</v>
      </c>
      <c r="B58" t="inlineStr">
        <is>
          <t>汇率库</t>
        </is>
      </c>
      <c r="C58" t="inlineStr">
        <is>
          <t>失败</t>
        </is>
      </c>
      <c r="D58" t="inlineStr">
        <is>
          <t>系统错误：invalid literal for int() with base 10: '2026.'</t>
        </is>
      </c>
    </row>
    <row r="59">
      <c r="A59" s="4" t="n">
        <v>46297.95902777778</v>
      </c>
      <c r="B59" t="inlineStr">
        <is>
          <t>报关物料清单</t>
        </is>
      </c>
      <c r="C59" t="inlineStr">
        <is>
          <t>成功</t>
        </is>
      </c>
      <c r="D59" t="inlineStr">
        <is>
          <t>导入 18 行</t>
        </is>
      </c>
    </row>
    <row r="60">
      <c r="A60" s="4" t="n">
        <v>46297.96652777777</v>
      </c>
      <c r="B60" t="inlineStr">
        <is>
          <t>报关物料清单</t>
        </is>
      </c>
      <c r="C60" t="inlineStr">
        <is>
          <t>成功</t>
        </is>
      </c>
      <c r="D60" t="inlineStr">
        <is>
          <t>导入 18 行</t>
        </is>
      </c>
    </row>
    <row r="61">
      <c r="A61" s="4" t="n">
        <v>46297.96701388889</v>
      </c>
      <c r="B61" t="inlineStr">
        <is>
          <t>报关物料清单</t>
        </is>
      </c>
      <c r="C61" t="inlineStr">
        <is>
          <t>成功</t>
        </is>
      </c>
      <c r="D61" t="inlineStr">
        <is>
          <t>导入 18 行</t>
        </is>
      </c>
    </row>
    <row r="62">
      <c r="A62" s="4" t="n">
        <v>46298.02559027778</v>
      </c>
      <c r="B62" t="inlineStr">
        <is>
          <t>报关物料清单</t>
        </is>
      </c>
      <c r="C62" t="inlineStr">
        <is>
          <t>失败</t>
        </is>
      </c>
      <c r="D62" t="inlineStr">
        <is>
          <t>要求对象</t>
        </is>
      </c>
    </row>
    <row r="63">
      <c r="A63" s="4" t="n">
        <v>46298.02567129629</v>
      </c>
      <c r="B63" t="inlineStr">
        <is>
          <t>使用说明</t>
        </is>
      </c>
      <c r="C63" t="inlineStr">
        <is>
          <t>成功</t>
        </is>
      </c>
      <c r="D63" t="inlineStr">
        <is>
          <t>登录成功</t>
        </is>
      </c>
    </row>
    <row r="64">
      <c r="A64" s="4" t="n">
        <v>46298.0262037037</v>
      </c>
      <c r="B64" t="inlineStr">
        <is>
          <t>使用说明</t>
        </is>
      </c>
      <c r="C64" t="inlineStr">
        <is>
          <t>成功</t>
        </is>
      </c>
      <c r="D64" t="inlineStr">
        <is>
          <t>登录成功</t>
        </is>
      </c>
    </row>
    <row r="65">
      <c r="A65" s="4" t="n">
        <v>46298.02622685185</v>
      </c>
      <c r="B65" t="inlineStr">
        <is>
          <t>报关物料清单</t>
        </is>
      </c>
      <c r="C65" t="inlineStr">
        <is>
          <t>失败</t>
        </is>
      </c>
      <c r="D65" t="inlineStr">
        <is>
          <t>要求对象</t>
        </is>
      </c>
    </row>
    <row r="66">
      <c r="A66" s="4" t="n">
        <v>46298.02657407407</v>
      </c>
      <c r="B66" t="inlineStr">
        <is>
          <t>报关物料清单</t>
        </is>
      </c>
      <c r="C66" t="inlineStr">
        <is>
          <t>失败</t>
        </is>
      </c>
      <c r="D66" t="inlineStr">
        <is>
          <t>要求对象</t>
        </is>
      </c>
    </row>
    <row r="67">
      <c r="A67" s="4" t="n">
        <v>46298.02680555556</v>
      </c>
      <c r="B67" t="inlineStr">
        <is>
          <t>报关物料清单</t>
        </is>
      </c>
      <c r="C67" t="inlineStr">
        <is>
          <t>失败</t>
        </is>
      </c>
      <c r="D67" t="inlineStr">
        <is>
          <t>要求对象</t>
        </is>
      </c>
    </row>
    <row r="68">
      <c r="A68" s="4" t="n">
        <v>46298.0268287037</v>
      </c>
      <c r="B68" t="inlineStr">
        <is>
          <t>使用说明</t>
        </is>
      </c>
      <c r="C68" t="inlineStr">
        <is>
          <t>成功</t>
        </is>
      </c>
      <c r="D68" t="inlineStr">
        <is>
          <t>登录成功</t>
        </is>
      </c>
    </row>
    <row r="69">
      <c r="A69" s="4" t="n">
        <v>46298.02684027778</v>
      </c>
      <c r="B69" t="inlineStr">
        <is>
          <t>报关物料清单</t>
        </is>
      </c>
      <c r="C69" t="inlineStr">
        <is>
          <t>失败</t>
        </is>
      </c>
      <c r="D69" t="inlineStr">
        <is>
          <t>要求对象</t>
        </is>
      </c>
    </row>
    <row r="70">
      <c r="A70" s="4" t="n">
        <v>46298.03016203704</v>
      </c>
      <c r="B70" t="inlineStr">
        <is>
          <t>报关物料清单</t>
        </is>
      </c>
      <c r="C70" t="inlineStr">
        <is>
          <t>失败</t>
        </is>
      </c>
      <c r="D70" t="inlineStr">
        <is>
          <t>要求对象</t>
        </is>
      </c>
    </row>
    <row r="71">
      <c r="A71" s="4" t="n">
        <v>46298.03047453704</v>
      </c>
      <c r="B71" t="inlineStr">
        <is>
          <t>使用说明</t>
        </is>
      </c>
      <c r="C71" t="inlineStr">
        <is>
          <t>成功</t>
        </is>
      </c>
      <c r="D71" t="inlineStr">
        <is>
          <t>登录成功</t>
        </is>
      </c>
    </row>
    <row r="72">
      <c r="A72" s="4" t="n">
        <v>46298.03049768518</v>
      </c>
      <c r="B72" t="inlineStr">
        <is>
          <t>报关物料清单</t>
        </is>
      </c>
      <c r="C72" t="inlineStr">
        <is>
          <t>失败</t>
        </is>
      </c>
      <c r="D72" t="inlineStr">
        <is>
          <t>要求对象</t>
        </is>
      </c>
    </row>
    <row r="73">
      <c r="A73" s="4" t="n">
        <v>46298.03383101852</v>
      </c>
      <c r="B73" t="inlineStr">
        <is>
          <t>报关物料清单</t>
        </is>
      </c>
      <c r="C73" t="inlineStr">
        <is>
          <t>失败</t>
        </is>
      </c>
      <c r="D73" t="inlineStr">
        <is>
          <t>请先在「使用说明」登录。</t>
        </is>
      </c>
    </row>
    <row r="74">
      <c r="A74" s="4" t="n">
        <v>46298.03386574074</v>
      </c>
      <c r="B74" t="inlineStr">
        <is>
          <t>使用说明</t>
        </is>
      </c>
      <c r="C74" t="inlineStr">
        <is>
          <t>成功</t>
        </is>
      </c>
      <c r="D74" t="inlineStr">
        <is>
          <t>登录成功</t>
        </is>
      </c>
    </row>
    <row r="75">
      <c r="A75" s="4" t="n">
        <v>46298.03388888889</v>
      </c>
      <c r="B75" t="inlineStr">
        <is>
          <t>报关物料清单</t>
        </is>
      </c>
      <c r="C75" t="inlineStr">
        <is>
          <t>失败</t>
        </is>
      </c>
      <c r="D75" t="inlineStr">
        <is>
          <t>要求对象</t>
        </is>
      </c>
    </row>
    <row r="76">
      <c r="A76" s="4" t="n">
        <v>46298.03392361111</v>
      </c>
      <c r="B76" t="inlineStr">
        <is>
          <t>报关物料清单</t>
        </is>
      </c>
      <c r="C76" t="inlineStr">
        <is>
          <t>失败</t>
        </is>
      </c>
      <c r="D76" t="inlineStr">
        <is>
          <t>要求对象</t>
        </is>
      </c>
    </row>
    <row r="77">
      <c r="A77" s="4" t="n">
        <v>46298.03402777778</v>
      </c>
      <c r="B77" t="inlineStr">
        <is>
          <t>报关物料清单</t>
        </is>
      </c>
      <c r="C77" t="inlineStr">
        <is>
          <t>失败</t>
        </is>
      </c>
      <c r="D77" t="inlineStr">
        <is>
          <t>要求对象</t>
        </is>
      </c>
    </row>
    <row r="78">
      <c r="A78" s="4" t="n">
        <v>46298.03453703703</v>
      </c>
      <c r="B78" t="inlineStr">
        <is>
          <t>报关物料清单</t>
        </is>
      </c>
      <c r="C78" t="inlineStr">
        <is>
          <t>失败</t>
        </is>
      </c>
      <c r="D78" t="inlineStr">
        <is>
          <t>请先在「使用说明」登录。</t>
        </is>
      </c>
    </row>
    <row r="79">
      <c r="A79" s="4" t="n">
        <v>46298.03456018519</v>
      </c>
      <c r="B79" t="inlineStr">
        <is>
          <t>使用说明</t>
        </is>
      </c>
      <c r="C79" t="inlineStr">
        <is>
          <t>成功</t>
        </is>
      </c>
      <c r="D79" t="inlineStr">
        <is>
          <t>登录成功</t>
        </is>
      </c>
    </row>
    <row r="80">
      <c r="A80" s="4" t="n">
        <v>46298.03458333333</v>
      </c>
      <c r="B80" t="inlineStr">
        <is>
          <t>报关物料清单</t>
        </is>
      </c>
      <c r="C80" t="inlineStr">
        <is>
          <t>失败</t>
        </is>
      </c>
      <c r="D80" t="inlineStr">
        <is>
          <t>要求对象</t>
        </is>
      </c>
    </row>
    <row r="81">
      <c r="A81" s="4" t="n">
        <v>46298.04443287037</v>
      </c>
      <c r="B81" t="inlineStr">
        <is>
          <t>使用说明</t>
        </is>
      </c>
      <c r="C81" t="inlineStr">
        <is>
          <t>成功</t>
        </is>
      </c>
      <c r="D81" t="inlineStr">
        <is>
          <t>登录成功</t>
        </is>
      </c>
    </row>
    <row r="82">
      <c r="A82" s="4" t="n">
        <v>46298.04460648148</v>
      </c>
      <c r="B82" t="inlineStr">
        <is>
          <t>报关物料清单</t>
        </is>
      </c>
      <c r="C82" t="inlineStr">
        <is>
          <t>失败</t>
        </is>
      </c>
      <c r="D82" t="inlineStr">
        <is>
          <t>要求对象</t>
        </is>
      </c>
    </row>
    <row r="83">
      <c r="A83" s="4" t="n">
        <v>46298.04697916667</v>
      </c>
      <c r="B83" t="inlineStr">
        <is>
          <t>使用说明</t>
        </is>
      </c>
      <c r="C83" t="inlineStr">
        <is>
          <t>成功</t>
        </is>
      </c>
      <c r="D83" t="inlineStr">
        <is>
          <t>登录成功</t>
        </is>
      </c>
    </row>
    <row r="84">
      <c r="A84" s="4" t="n">
        <v>46298.04700231482</v>
      </c>
      <c r="B84" t="inlineStr">
        <is>
          <t>采购合同</t>
        </is>
      </c>
      <c r="C84" t="inlineStr">
        <is>
          <t>成功</t>
        </is>
      </c>
      <c r="D84" t="inlineStr">
        <is>
          <t>导入 1 份合同</t>
        </is>
      </c>
    </row>
    <row r="85">
      <c r="A85" s="4" t="n">
        <v>46298.04787037037</v>
      </c>
      <c r="B85" t="inlineStr">
        <is>
          <t>报关物料清单</t>
        </is>
      </c>
      <c r="C85" t="inlineStr">
        <is>
          <t>失败</t>
        </is>
      </c>
      <c r="D85" t="inlineStr">
        <is>
          <t>要求对象</t>
        </is>
      </c>
    </row>
    <row r="86">
      <c r="A86" s="4" t="n">
        <v>46298.0847337963</v>
      </c>
      <c r="B86" t="inlineStr">
        <is>
          <t>报关物料清单</t>
        </is>
      </c>
      <c r="C86" t="inlineStr">
        <is>
          <t>失败</t>
        </is>
      </c>
      <c r="D86" t="inlineStr">
        <is>
          <t>请先在「使用说明」登录。</t>
        </is>
      </c>
    </row>
    <row r="87">
      <c r="A87" s="4" t="n">
        <v>46298.08475694444</v>
      </c>
      <c r="B87" t="inlineStr">
        <is>
          <t>使用说明</t>
        </is>
      </c>
      <c r="C87" t="inlineStr">
        <is>
          <t>成功</t>
        </is>
      </c>
      <c r="D87" t="inlineStr">
        <is>
          <t>登录成功</t>
        </is>
      </c>
    </row>
    <row r="88">
      <c r="A88" s="4" t="n">
        <v>46298.08476851852</v>
      </c>
      <c r="B88" t="inlineStr">
        <is>
          <t>报关物料清单</t>
        </is>
      </c>
      <c r="C88" t="inlineStr">
        <is>
          <t>失败</t>
        </is>
      </c>
      <c r="D88" t="inlineStr">
        <is>
          <t>要求对象</t>
        </is>
      </c>
    </row>
    <row r="89">
      <c r="A89" s="4" t="n">
        <v>46298.10375</v>
      </c>
      <c r="B89" t="inlineStr">
        <is>
          <t>使用说明</t>
        </is>
      </c>
      <c r="C89" t="inlineStr">
        <is>
          <t>成功</t>
        </is>
      </c>
      <c r="D89" t="inlineStr">
        <is>
          <t>登录成功</t>
        </is>
      </c>
    </row>
    <row r="90">
      <c r="A90" s="4" t="n">
        <v>46298.10377314815</v>
      </c>
      <c r="B90" t="inlineStr">
        <is>
          <t>报关物料清单</t>
        </is>
      </c>
      <c r="C90" t="inlineStr">
        <is>
          <t>失败</t>
        </is>
      </c>
      <c r="D90" t="inlineStr">
        <is>
          <t>要求对象</t>
        </is>
      </c>
    </row>
    <row r="91">
      <c r="A91" s="4" t="n">
        <v>46298.10459490741</v>
      </c>
      <c r="B91" t="inlineStr">
        <is>
          <t>报关物料清单</t>
        </is>
      </c>
      <c r="C91" t="inlineStr">
        <is>
          <t>失败</t>
        </is>
      </c>
      <c r="D91" t="inlineStr">
        <is>
          <t>要求对象</t>
        </is>
      </c>
    </row>
    <row r="92">
      <c r="A92" s="4" t="n">
        <v>46298.10885416667</v>
      </c>
      <c r="B92" t="inlineStr">
        <is>
          <t>使用说明</t>
        </is>
      </c>
      <c r="C92" t="inlineStr">
        <is>
          <t>成功</t>
        </is>
      </c>
      <c r="D92" t="inlineStr">
        <is>
          <t>登录成功</t>
        </is>
      </c>
    </row>
    <row r="93">
      <c r="A93" s="4" t="n">
        <v>46298.10888888889</v>
      </c>
      <c r="B93" t="inlineStr">
        <is>
          <t>报关物料清单</t>
        </is>
      </c>
      <c r="C93" t="inlineStr">
        <is>
          <t>失败</t>
        </is>
      </c>
      <c r="D93" t="inlineStr">
        <is>
          <t>要求对象</t>
        </is>
      </c>
    </row>
    <row r="94">
      <c r="A94" s="4" t="n">
        <v>46298.13298611111</v>
      </c>
      <c r="B94" t="inlineStr">
        <is>
          <t>使用说明</t>
        </is>
      </c>
      <c r="C94" t="inlineStr">
        <is>
          <t>成功</t>
        </is>
      </c>
      <c r="D94" t="inlineStr">
        <is>
          <t>登录成功</t>
        </is>
      </c>
    </row>
    <row r="95">
      <c r="A95" s="4" t="n">
        <v>46298.13300925926</v>
      </c>
      <c r="B95" t="inlineStr">
        <is>
          <t>报关物料清单</t>
        </is>
      </c>
      <c r="C95" t="inlineStr">
        <is>
          <t>失败</t>
        </is>
      </c>
      <c r="D95" t="inlineStr">
        <is>
          <t>存在错误数据，全部校验通过后才能导入。 第2行 未找到该入仓单下的物料编号；第3行 未找到该入仓单下的物料编号；第4行 未找到该入仓单下的物料编号；第5行 未找到该入仓单下的物料编号；第6行 未找到该入仓单下的物料编号；第7行 未找到该入仓单下的物料编号；第8行 未找到该入仓单下的物料编号；第9行 未找到该入仓单下的物料编号</t>
        </is>
      </c>
    </row>
    <row r="96">
      <c r="A96" s="4" t="n">
        <v>46298.1333912037</v>
      </c>
      <c r="B96" t="inlineStr">
        <is>
          <t>报关物料清单</t>
        </is>
      </c>
      <c r="C96" t="inlineStr">
        <is>
          <t>成功</t>
        </is>
      </c>
      <c r="D96" t="inlineStr">
        <is>
          <t>导入 18 行</t>
        </is>
      </c>
    </row>
    <row r="97">
      <c r="A97" s="4" t="n">
        <v>46298.13883101852</v>
      </c>
      <c r="B97" t="inlineStr">
        <is>
          <t>使用说明</t>
        </is>
      </c>
      <c r="C97" t="inlineStr">
        <is>
          <t>成功</t>
        </is>
      </c>
      <c r="D97" t="inlineStr">
        <is>
          <t>登录成功</t>
        </is>
      </c>
    </row>
    <row r="98">
      <c r="A98" s="4" t="n">
        <v>46298.13885416667</v>
      </c>
      <c r="B98" t="inlineStr">
        <is>
          <t>报关物料清单</t>
        </is>
      </c>
      <c r="C98" t="inlineStr">
        <is>
          <t>成功</t>
        </is>
      </c>
      <c r="D98" t="inlineStr">
        <is>
          <t>导入 18 行</t>
        </is>
      </c>
    </row>
    <row r="99">
      <c r="A99" s="4" t="n">
        <v>46298.79630787037</v>
      </c>
      <c r="B99" t="inlineStr">
        <is>
          <t>使用说明</t>
        </is>
      </c>
      <c r="C99" t="inlineStr">
        <is>
          <t>成功</t>
        </is>
      </c>
      <c r="D99" t="inlineStr">
        <is>
          <t>登录成功</t>
        </is>
      </c>
    </row>
    <row r="100">
      <c r="A100" s="4" t="n">
        <v>46298.79631944445</v>
      </c>
      <c r="B100" t="inlineStr">
        <is>
          <t>客商</t>
        </is>
      </c>
      <c r="C100" t="inlineStr">
        <is>
          <t>成功</t>
        </is>
      </c>
      <c r="D100" t="inlineStr">
        <is>
          <t>导入 1 条</t>
        </is>
      </c>
    </row>
    <row r="101">
      <c r="A101" s="4" t="n">
        <v>46298.81668981481</v>
      </c>
      <c r="B101" t="inlineStr">
        <is>
          <t>使用说明</t>
        </is>
      </c>
      <c r="C101" t="inlineStr">
        <is>
          <t>成功</t>
        </is>
      </c>
      <c r="D101" t="inlineStr">
        <is>
          <t>登录成功</t>
        </is>
      </c>
    </row>
    <row r="102">
      <c r="A102" s="4" t="n">
        <v>46298.81673611111</v>
      </c>
      <c r="B102" t="inlineStr">
        <is>
          <t>采购计划</t>
        </is>
      </c>
      <c r="C102" t="inlineStr">
        <is>
          <t>成功</t>
        </is>
      </c>
      <c r="D102" t="inlineStr">
        <is>
          <t>导入 439 行</t>
        </is>
      </c>
    </row>
    <row r="103">
      <c r="A103" s="4" t="n">
        <v>46298.82445601852</v>
      </c>
      <c r="B103" t="inlineStr">
        <is>
          <t>使用说明</t>
        </is>
      </c>
      <c r="C103" t="inlineStr">
        <is>
          <t>成功</t>
        </is>
      </c>
      <c r="D103" t="inlineStr">
        <is>
          <t>登录成功</t>
        </is>
      </c>
    </row>
    <row r="104">
      <c r="A104" s="4" t="n">
        <v>46298.82447916667</v>
      </c>
      <c r="B104" t="inlineStr">
        <is>
          <t>采购合同</t>
        </is>
      </c>
      <c r="C104" t="inlineStr">
        <is>
          <t>失败</t>
        </is>
      </c>
      <c r="D104" t="inlineStr">
        <is>
          <t>采购合同 找不到「阶段付款」。</t>
        </is>
      </c>
    </row>
    <row r="105">
      <c r="A105" s="4" t="n">
        <v>46298.82487268518</v>
      </c>
      <c r="B105" t="inlineStr">
        <is>
          <t>使用说明</t>
        </is>
      </c>
      <c r="C105" t="inlineStr">
        <is>
          <t>成功</t>
        </is>
      </c>
      <c r="D105" t="inlineStr">
        <is>
          <t>登录成功</t>
        </is>
      </c>
    </row>
    <row r="106">
      <c r="A106" s="4" t="n">
        <v>46298.82489583334</v>
      </c>
      <c r="B106" t="inlineStr">
        <is>
          <t>采购合同</t>
        </is>
      </c>
      <c r="C106" t="inlineStr">
        <is>
          <t>失败</t>
        </is>
      </c>
      <c r="D106" t="inlineStr">
        <is>
          <t>采购合同 找不到「阶段付款」。</t>
        </is>
      </c>
    </row>
    <row r="107">
      <c r="A107" s="4" t="n">
        <v>46298.83960648148</v>
      </c>
      <c r="B107" t="inlineStr">
        <is>
          <t>使用说明</t>
        </is>
      </c>
      <c r="C107" t="inlineStr">
        <is>
          <t>成功</t>
        </is>
      </c>
      <c r="D107" t="inlineStr">
        <is>
          <t>登录成功</t>
        </is>
      </c>
    </row>
    <row r="108">
      <c r="A108" s="4" t="n">
        <v>46298.83962962963</v>
      </c>
      <c r="B108" t="inlineStr">
        <is>
          <t>采购合同</t>
        </is>
      </c>
      <c r="C108" t="inlineStr">
        <is>
          <t>失败</t>
        </is>
      </c>
      <c r="D108" t="inlineStr">
        <is>
          <t>客商已停用</t>
        </is>
      </c>
    </row>
    <row r="109">
      <c r="A109" s="4" t="n">
        <v>46298.83986111111</v>
      </c>
      <c r="B109" t="inlineStr">
        <is>
          <t>使用说明</t>
        </is>
      </c>
      <c r="C109" t="inlineStr">
        <is>
          <t>成功</t>
        </is>
      </c>
      <c r="D109" t="inlineStr">
        <is>
          <t>登录成功</t>
        </is>
      </c>
    </row>
    <row r="110">
      <c r="A110" s="4" t="n">
        <v>46298.83989583333</v>
      </c>
      <c r="B110" t="inlineStr">
        <is>
          <t>客商</t>
        </is>
      </c>
      <c r="C110" t="inlineStr">
        <is>
          <t>成功</t>
        </is>
      </c>
      <c r="D110" t="inlineStr">
        <is>
          <t>导入 1 条</t>
        </is>
      </c>
    </row>
    <row r="111">
      <c r="A111" s="4" t="n">
        <v>46298.84137731481</v>
      </c>
      <c r="B111" t="inlineStr">
        <is>
          <t>采购合同</t>
        </is>
      </c>
      <c r="C111" t="inlineStr">
        <is>
          <t>失败</t>
        </is>
      </c>
      <c r="D111" t="inlineStr">
        <is>
          <t>请先在「使用说明」登录。</t>
        </is>
      </c>
    </row>
    <row r="112">
      <c r="A112" s="4" t="n">
        <v>46298.84141203704</v>
      </c>
      <c r="B112" t="inlineStr">
        <is>
          <t>使用说明</t>
        </is>
      </c>
      <c r="C112" t="inlineStr">
        <is>
          <t>成功</t>
        </is>
      </c>
      <c r="D112" t="inlineStr">
        <is>
          <t>登录成功</t>
        </is>
      </c>
    </row>
    <row r="113">
      <c r="A113" s="4" t="n">
        <v>46298.84143518518</v>
      </c>
      <c r="B113" t="inlineStr">
        <is>
          <t>采购合同</t>
        </is>
      </c>
      <c r="C113" t="inlineStr">
        <is>
          <t>失败</t>
        </is>
      </c>
      <c r="D113" t="inlineStr">
        <is>
          <t>客商已停用</t>
        </is>
      </c>
    </row>
    <row r="114">
      <c r="A114" s="4" t="n">
        <v>46298.84158564815</v>
      </c>
      <c r="B114" t="inlineStr">
        <is>
          <t>采购合同</t>
        </is>
      </c>
      <c r="C114" t="inlineStr">
        <is>
          <t>失败</t>
        </is>
      </c>
      <c r="D114" t="inlineStr">
        <is>
          <t>客商已停用</t>
        </is>
      </c>
    </row>
    <row r="115">
      <c r="A115" s="4" t="n">
        <v>46298.84208333334</v>
      </c>
      <c r="B115" t="inlineStr">
        <is>
          <t>采购合同</t>
        </is>
      </c>
      <c r="C115" t="inlineStr">
        <is>
          <t>成功</t>
        </is>
      </c>
      <c r="D115" t="inlineStr">
        <is>
          <t>导入 1 份合同</t>
        </is>
      </c>
    </row>
    <row r="116">
      <c r="A116" s="4" t="n">
        <v>46298.85162037037</v>
      </c>
      <c r="B116" t="inlineStr">
        <is>
          <t>使用说明</t>
        </is>
      </c>
      <c r="C116" t="inlineStr">
        <is>
          <t>成功</t>
        </is>
      </c>
      <c r="D116" t="inlineStr">
        <is>
          <t>登录成功</t>
        </is>
      </c>
    </row>
    <row r="117">
      <c r="A117" s="4" t="n">
        <v>46298.85164351852</v>
      </c>
      <c r="B117" t="inlineStr">
        <is>
          <t>采购合同</t>
        </is>
      </c>
      <c r="C117" t="inlineStr">
        <is>
          <t>成功</t>
        </is>
      </c>
      <c r="D117" t="inlineStr">
        <is>
          <t>导入 1 份合同</t>
        </is>
      </c>
    </row>
    <row r="118">
      <c r="A118" s="4" t="n">
        <v>46298.85425925926</v>
      </c>
      <c r="B118" t="inlineStr">
        <is>
          <t>使用说明</t>
        </is>
      </c>
      <c r="C118" t="inlineStr">
        <is>
          <t>成功</t>
        </is>
      </c>
      <c r="D118" t="inlineStr">
        <is>
          <t>登录成功</t>
        </is>
      </c>
    </row>
    <row r="119">
      <c r="A119" s="4" t="n">
        <v>46298.85434027778</v>
      </c>
      <c r="B119" t="inlineStr">
        <is>
          <t>采购合同</t>
        </is>
      </c>
      <c r="C119" t="inlineStr">
        <is>
          <t>成功</t>
        </is>
      </c>
      <c r="D119" t="inlineStr">
        <is>
          <t>导入 1 份合同</t>
        </is>
      </c>
    </row>
    <row r="120">
      <c r="A120" s="4" t="n">
        <v>46298.85950231482</v>
      </c>
      <c r="B120" t="inlineStr">
        <is>
          <t>使用说明</t>
        </is>
      </c>
      <c r="C120" t="inlineStr">
        <is>
          <t>成功</t>
        </is>
      </c>
      <c r="D120" t="inlineStr">
        <is>
          <t>登录成功</t>
        </is>
      </c>
    </row>
    <row r="121">
      <c r="A121" s="4" t="n">
        <v>46298.85952546296</v>
      </c>
      <c r="B121" t="inlineStr">
        <is>
          <t>采购合同</t>
        </is>
      </c>
      <c r="C121" t="inlineStr">
        <is>
          <t>成功</t>
        </is>
      </c>
      <c r="D121" t="inlineStr">
        <is>
          <t>导入 1 份合同</t>
        </is>
      </c>
    </row>
    <row r="122">
      <c r="A122" s="4" t="n">
        <v>46298.86116898148</v>
      </c>
      <c r="B122" t="inlineStr">
        <is>
          <t>使用说明</t>
        </is>
      </c>
      <c r="C122" t="inlineStr">
        <is>
          <t>成功</t>
        </is>
      </c>
      <c r="D122" t="inlineStr">
        <is>
          <t>登录成功</t>
        </is>
      </c>
    </row>
    <row r="123">
      <c r="A123" s="4" t="n">
        <v>46298.86122685186</v>
      </c>
      <c r="B123" t="inlineStr">
        <is>
          <t>采购合同</t>
        </is>
      </c>
      <c r="C123" t="inlineStr">
        <is>
          <t>失败</t>
        </is>
      </c>
      <c r="D123" t="inlineStr">
        <is>
          <t>物料 202606-6-202606-10 超出 1</t>
        </is>
      </c>
    </row>
    <row r="124">
      <c r="A124" s="4" t="n">
        <v>46298.86306712963</v>
      </c>
      <c r="B124" t="inlineStr">
        <is>
          <t>使用说明</t>
        </is>
      </c>
      <c r="C124" t="inlineStr">
        <is>
          <t>成功</t>
        </is>
      </c>
      <c r="D124" t="inlineStr">
        <is>
          <t>登录成功</t>
        </is>
      </c>
    </row>
    <row r="125">
      <c r="A125" s="4" t="n">
        <v>46298.86313657407</v>
      </c>
      <c r="B125" t="inlineStr">
        <is>
          <t>采购合同</t>
        </is>
      </c>
      <c r="C125" t="inlineStr">
        <is>
          <t>成功</t>
        </is>
      </c>
      <c r="D125" t="inlineStr">
        <is>
          <t>导入 1 份合同</t>
        </is>
      </c>
    </row>
    <row r="126">
      <c r="A126" s="4" t="n">
        <v>46298.86425925926</v>
      </c>
      <c r="B126" t="inlineStr">
        <is>
          <t>使用说明</t>
        </is>
      </c>
      <c r="C126" t="inlineStr">
        <is>
          <t>成功</t>
        </is>
      </c>
      <c r="D126" t="inlineStr">
        <is>
          <t>登录成功</t>
        </is>
      </c>
    </row>
    <row r="127">
      <c r="A127" s="4" t="n">
        <v>46298.8642824074</v>
      </c>
      <c r="B127" t="inlineStr">
        <is>
          <t>采购合同</t>
        </is>
      </c>
      <c r="C127" t="inlineStr">
        <is>
          <t>失败</t>
        </is>
      </c>
      <c r="D127" t="inlineStr">
        <is>
          <t>BMI-GMI-2026069 至少要有一行付款阶段。</t>
        </is>
      </c>
    </row>
    <row r="128">
      <c r="A128" s="4" t="n">
        <v>46298.86443287037</v>
      </c>
      <c r="B128" t="inlineStr">
        <is>
          <t>采购合同</t>
        </is>
      </c>
      <c r="C128" t="inlineStr">
        <is>
          <t>成功</t>
        </is>
      </c>
      <c r="D128" t="inlineStr">
        <is>
          <t>导入 1 份合同</t>
        </is>
      </c>
    </row>
    <row r="129">
      <c r="A129" s="4" t="n">
        <v>46303.39195601852</v>
      </c>
      <c r="B129" t="inlineStr">
        <is>
          <t>使用说明</t>
        </is>
      </c>
      <c r="C129" t="inlineStr">
        <is>
          <t>成功</t>
        </is>
      </c>
      <c r="D129" t="inlineStr">
        <is>
          <t>登录成功</t>
        </is>
      </c>
    </row>
    <row r="130">
      <c r="A130" s="4" t="n">
        <v>46303.39196759259</v>
      </c>
      <c r="B130" t="inlineStr">
        <is>
          <t>客商</t>
        </is>
      </c>
      <c r="C130" t="inlineStr">
        <is>
          <t>成功</t>
        </is>
      </c>
      <c r="D130" t="inlineStr">
        <is>
          <t>导入 6 条</t>
        </is>
      </c>
    </row>
    <row r="131">
      <c r="A131" s="4" t="n">
        <v>46303.39260416666</v>
      </c>
      <c r="B131" t="inlineStr">
        <is>
          <t>使用说明</t>
        </is>
      </c>
      <c r="C131" t="inlineStr">
        <is>
          <t>成功</t>
        </is>
      </c>
      <c r="D131" t="inlineStr">
        <is>
          <t>登录成功</t>
        </is>
      </c>
    </row>
    <row r="132">
      <c r="A132" s="4" t="n">
        <v>46303.39261574074</v>
      </c>
      <c r="B132" t="inlineStr">
        <is>
          <t>客商</t>
        </is>
      </c>
      <c r="C132" t="inlineStr">
        <is>
          <t>成功</t>
        </is>
      </c>
      <c r="D132" t="inlineStr">
        <is>
          <t>导入 6 条</t>
        </is>
      </c>
    </row>
    <row r="133">
      <c r="A133" s="4" t="n">
        <v>46303.39280092593</v>
      </c>
      <c r="B133" t="inlineStr">
        <is>
          <t>使用说明</t>
        </is>
      </c>
      <c r="C133" t="inlineStr">
        <is>
          <t>成功</t>
        </is>
      </c>
      <c r="D133" t="inlineStr">
        <is>
          <t>登录成功</t>
        </is>
      </c>
    </row>
    <row r="134">
      <c r="A134" s="4" t="n">
        <v>46303.3928125</v>
      </c>
      <c r="B134" t="inlineStr">
        <is>
          <t>客商</t>
        </is>
      </c>
      <c r="C134" t="inlineStr">
        <is>
          <t>成功</t>
        </is>
      </c>
      <c r="D134" t="inlineStr">
        <is>
          <t>导入 6 条</t>
        </is>
      </c>
    </row>
    <row r="135">
      <c r="A135" s="4" t="n">
        <v>46303.4509837963</v>
      </c>
      <c r="B135" t="inlineStr">
        <is>
          <t>使用说明</t>
        </is>
      </c>
      <c r="C135" t="inlineStr">
        <is>
          <t>成功</t>
        </is>
      </c>
      <c r="D135" t="inlineStr">
        <is>
          <t>登录成功</t>
        </is>
      </c>
    </row>
    <row r="136">
      <c r="A136" s="4" t="n">
        <v>46303.45099537037</v>
      </c>
      <c r="B136" t="inlineStr">
        <is>
          <t>客商</t>
        </is>
      </c>
      <c r="C136" t="inlineStr">
        <is>
          <t>成功</t>
        </is>
      </c>
      <c r="D136" t="inlineStr">
        <is>
          <t>导入 6 条</t>
        </is>
      </c>
    </row>
    <row r="137">
      <c r="A137" s="4" t="n">
        <v>46303.45127314814</v>
      </c>
      <c r="B137" t="inlineStr">
        <is>
          <t>客商</t>
        </is>
      </c>
      <c r="C137" t="inlineStr">
        <is>
          <t>成功</t>
        </is>
      </c>
      <c r="D137" t="inlineStr">
        <is>
          <t>导入 6 条</t>
        </is>
      </c>
    </row>
    <row r="138">
      <c r="A138" s="4" t="n">
        <v>46303.45196759259</v>
      </c>
      <c r="B138" t="inlineStr">
        <is>
          <t>使用说明</t>
        </is>
      </c>
      <c r="C138" t="inlineStr">
        <is>
          <t>成功</t>
        </is>
      </c>
      <c r="D138" t="inlineStr">
        <is>
          <t>登录成功</t>
        </is>
      </c>
    </row>
    <row r="139">
      <c r="A139" s="4" t="n">
        <v>46303.45197916667</v>
      </c>
      <c r="B139" t="inlineStr">
        <is>
          <t>客商</t>
        </is>
      </c>
      <c r="C139" t="inlineStr">
        <is>
          <t>成功</t>
        </is>
      </c>
      <c r="D139" t="inlineStr">
        <is>
          <t>导入 6 条</t>
        </is>
      </c>
    </row>
    <row r="140">
      <c r="A140" s="4" t="n">
        <v>46304.44004629629</v>
      </c>
      <c r="B140" t="inlineStr">
        <is>
          <t>使用说明</t>
        </is>
      </c>
      <c r="C140" t="inlineStr">
        <is>
          <t>成功</t>
        </is>
      </c>
      <c r="D140" t="inlineStr">
        <is>
          <t>登录成功</t>
        </is>
      </c>
    </row>
    <row r="141">
      <c r="A141" s="4" t="n">
        <v>46304.44006944444</v>
      </c>
      <c r="B141" t="inlineStr">
        <is>
          <t>采购计划</t>
        </is>
      </c>
      <c r="C141" t="inlineStr">
        <is>
          <t>失败</t>
        </is>
      </c>
      <c r="D141" t="inlineStr">
        <is>
          <t>采购计划 的「A2」不在表单字段库中，不能新增未知字段。可以删掉不需要的列。</t>
        </is>
      </c>
    </row>
    <row r="142">
      <c r="A142" s="4" t="n">
        <v>46304.44032407407</v>
      </c>
      <c r="B142" t="inlineStr">
        <is>
          <t>采购计划</t>
        </is>
      </c>
      <c r="C142" t="inlineStr">
        <is>
          <t>失败</t>
        </is>
      </c>
      <c r="D142" t="inlineStr">
        <is>
          <t>采购计划 的「A2」不在表单字段库中，不能新增未知字段。可以删掉不需要的列。</t>
        </is>
      </c>
    </row>
    <row r="143">
      <c r="A143" s="4" t="n">
        <v>46304.4405787037</v>
      </c>
      <c r="B143" t="inlineStr">
        <is>
          <t>采购计划</t>
        </is>
      </c>
      <c r="C143" t="inlineStr">
        <is>
          <t>失败</t>
        </is>
      </c>
      <c r="D143" t="inlineStr">
        <is>
          <t>采购计划 的「A2」不在表单字段库中，不能新增未知字段。可以删掉不需要的列。</t>
        </is>
      </c>
    </row>
    <row r="144">
      <c r="A144" s="4" t="n">
        <v>46304.44074074074</v>
      </c>
      <c r="B144" t="inlineStr">
        <is>
          <t>使用说明</t>
        </is>
      </c>
      <c r="C144" t="inlineStr">
        <is>
          <t>成功</t>
        </is>
      </c>
      <c r="D144" t="inlineStr">
        <is>
          <t>登录成功</t>
        </is>
      </c>
    </row>
    <row r="145">
      <c r="A145" s="4" t="n">
        <v>46304.44074074074</v>
      </c>
      <c r="B145" t="inlineStr">
        <is>
          <t>采购计划</t>
        </is>
      </c>
      <c r="C145" t="inlineStr">
        <is>
          <t>失败</t>
        </is>
      </c>
      <c r="D145" t="inlineStr">
        <is>
          <t>采购计划 的「A2」不在表单字段库中，不能新增未知字段。可以删掉不需要的列。</t>
        </is>
      </c>
    </row>
    <row r="146">
      <c r="A146" s="4" t="n">
        <v>46304.44079861111</v>
      </c>
      <c r="B146" t="inlineStr">
        <is>
          <t>使用说明</t>
        </is>
      </c>
      <c r="C146" t="inlineStr">
        <is>
          <t>成功</t>
        </is>
      </c>
      <c r="D146" t="inlineStr">
        <is>
          <t>登录成功</t>
        </is>
      </c>
    </row>
    <row r="147">
      <c r="A147" s="4" t="n">
        <v>46304.44081018519</v>
      </c>
      <c r="B147" t="inlineStr">
        <is>
          <t>采购计划</t>
        </is>
      </c>
      <c r="C147" t="inlineStr">
        <is>
          <t>失败</t>
        </is>
      </c>
      <c r="D147" t="inlineStr">
        <is>
          <t>采购计划 的「A2」不在表单字段库中，不能新增未知字段。可以删掉不需要的列。</t>
        </is>
      </c>
    </row>
    <row r="148">
      <c r="A148" s="4" t="n">
        <v>46304.4412962963</v>
      </c>
      <c r="B148" t="inlineStr">
        <is>
          <t>采购计划</t>
        </is>
      </c>
      <c r="C148" t="inlineStr">
        <is>
          <t>失败</t>
        </is>
      </c>
      <c r="D148" t="inlineStr">
        <is>
          <t>采购计划 的「A2」不在表单字段库中，不能新增未知字段。可以删掉不需要的列。</t>
        </is>
      </c>
    </row>
    <row r="149">
      <c r="A149" s="4" t="n">
        <v>46304.47128472223</v>
      </c>
      <c r="B149" t="inlineStr">
        <is>
          <t>使用说明</t>
        </is>
      </c>
      <c r="C149" t="inlineStr">
        <is>
          <t>成功</t>
        </is>
      </c>
      <c r="D149" t="inlineStr">
        <is>
          <t>登录成功</t>
        </is>
      </c>
    </row>
    <row r="150">
      <c r="A150" s="4" t="n">
        <v>46304.47130787037</v>
      </c>
      <c r="B150" t="inlineStr">
        <is>
          <t>采购计划</t>
        </is>
      </c>
      <c r="C150" t="inlineStr">
        <is>
          <t>成功</t>
        </is>
      </c>
      <c r="D150" t="inlineStr">
        <is>
          <t>导入 18 行</t>
        </is>
      </c>
    </row>
    <row r="151">
      <c r="A151" s="4" t="n">
        <v>46304.49305555555</v>
      </c>
      <c r="B151" t="inlineStr">
        <is>
          <t>使用说明</t>
        </is>
      </c>
      <c r="C151" t="inlineStr">
        <is>
          <t>成功</t>
        </is>
      </c>
      <c r="D151" t="inlineStr">
        <is>
          <t>登录成功</t>
        </is>
      </c>
    </row>
    <row r="152">
      <c r="A152" s="4" t="n">
        <v>46304.49314814815</v>
      </c>
      <c r="B152" t="inlineStr">
        <is>
          <t>采购计划</t>
        </is>
      </c>
      <c r="C152" t="inlineStr">
        <is>
          <t>失败</t>
        </is>
      </c>
      <c r="D152" t="inlineStr">
        <is>
          <t>采购计划 的「序号」不在表单字段库中，不能新增未知字段。可以删掉不需要的列。</t>
        </is>
      </c>
    </row>
    <row r="153">
      <c r="A153" s="4" t="n">
        <v>46304.49331018519</v>
      </c>
      <c r="B153" t="inlineStr">
        <is>
          <t>采购计划</t>
        </is>
      </c>
      <c r="C153" t="inlineStr">
        <is>
          <t>失败</t>
        </is>
      </c>
      <c r="D153" t="inlineStr">
        <is>
          <t>采购计划 的「月份」不在表单字段库中，不能新增未知字段。可以删掉不需要的列。</t>
        </is>
      </c>
    </row>
    <row r="154">
      <c r="A154" s="4" t="n">
        <v>46304.49334490741</v>
      </c>
      <c r="B154" t="inlineStr">
        <is>
          <t>采购计划</t>
        </is>
      </c>
      <c r="C154" t="inlineStr">
        <is>
          <t>失败</t>
        </is>
      </c>
      <c r="D154" t="inlineStr">
        <is>
          <t>采购计划 的「计划单号」不在表单字段库中，不能新增未知字段。可以删掉不需要的列。</t>
        </is>
      </c>
    </row>
    <row r="155">
      <c r="A155" s="4" t="n">
        <v>46304.4933912037</v>
      </c>
      <c r="B155" t="inlineStr">
        <is>
          <t>采购计划</t>
        </is>
      </c>
      <c r="C155" t="inlineStr">
        <is>
          <t>成功</t>
        </is>
      </c>
      <c r="D155" t="inlineStr">
        <is>
          <t>导入 18 行</t>
        </is>
      </c>
    </row>
    <row r="156">
      <c r="A156" s="4" t="n">
        <v>46304.56487268519</v>
      </c>
      <c r="B156" t="inlineStr">
        <is>
          <t>使用说明</t>
        </is>
      </c>
      <c r="C156" t="inlineStr">
        <is>
          <t>成功</t>
        </is>
      </c>
      <c r="D156" t="inlineStr">
        <is>
          <t>登录成功</t>
        </is>
      </c>
    </row>
    <row r="157">
      <c r="A157" s="4" t="n">
        <v>46304.56489583333</v>
      </c>
      <c r="B157" t="inlineStr">
        <is>
          <t>采购计划</t>
        </is>
      </c>
      <c r="C157" t="inlineStr">
        <is>
          <t>成功</t>
        </is>
      </c>
      <c r="D157" t="inlineStr">
        <is>
          <t>导入 18 行</t>
        </is>
      </c>
    </row>
    <row r="158">
      <c r="A158" s="4" t="n">
        <v>46305.48659722223</v>
      </c>
      <c r="B158" t="inlineStr">
        <is>
          <t>使用说明</t>
        </is>
      </c>
      <c r="C158" t="inlineStr">
        <is>
          <t>成功</t>
        </is>
      </c>
      <c r="D158" t="inlineStr">
        <is>
          <t>登录成功</t>
        </is>
      </c>
    </row>
    <row r="159">
      <c r="A159" s="4" t="n">
        <v>46305.48662037037</v>
      </c>
      <c r="B159" t="inlineStr">
        <is>
          <t>采购计划</t>
        </is>
      </c>
      <c r="C159" t="inlineStr">
        <is>
          <t>成功</t>
        </is>
      </c>
      <c r="D159" t="inlineStr">
        <is>
          <t>导入 1 行</t>
        </is>
      </c>
    </row>
    <row r="160">
      <c r="A160" s="4" t="n">
        <v>46305.49082175926</v>
      </c>
      <c r="B160" t="inlineStr">
        <is>
          <t>使用说明</t>
        </is>
      </c>
      <c r="C160" t="inlineStr">
        <is>
          <t>成功</t>
        </is>
      </c>
      <c r="D160" t="inlineStr">
        <is>
          <t>登录成功</t>
        </is>
      </c>
    </row>
    <row r="161">
      <c r="A161" s="4" t="n">
        <v>46305.49083333334</v>
      </c>
      <c r="B161" t="inlineStr">
        <is>
          <t>采购计划</t>
        </is>
      </c>
      <c r="C161" t="inlineStr">
        <is>
          <t>成功</t>
        </is>
      </c>
      <c r="D161" t="inlineStr">
        <is>
          <t>导入 1 行</t>
        </is>
      </c>
    </row>
    <row r="162">
      <c r="A162" s="4" t="n">
        <v>46305.49258101852</v>
      </c>
      <c r="B162" t="inlineStr">
        <is>
          <t>使用说明</t>
        </is>
      </c>
      <c r="C162" t="inlineStr">
        <is>
          <t>成功</t>
        </is>
      </c>
      <c r="D162" t="inlineStr">
        <is>
          <t>登录成功</t>
        </is>
      </c>
    </row>
    <row r="163">
      <c r="A163" s="4" t="n">
        <v>46305.49260416667</v>
      </c>
      <c r="B163" t="inlineStr">
        <is>
          <t>采购计划</t>
        </is>
      </c>
      <c r="C163" t="inlineStr">
        <is>
          <t>成功</t>
        </is>
      </c>
      <c r="D163" t="inlineStr">
        <is>
          <t>导入 18 行</t>
        </is>
      </c>
    </row>
    <row r="164">
      <c r="A164" s="4" t="n">
        <v>46305.49545138889</v>
      </c>
      <c r="B164" t="inlineStr">
        <is>
          <t>使用说明</t>
        </is>
      </c>
      <c r="C164" t="inlineStr">
        <is>
          <t>成功</t>
        </is>
      </c>
      <c r="D164" t="inlineStr">
        <is>
          <t>登录成功</t>
        </is>
      </c>
    </row>
    <row r="165">
      <c r="A165" s="4" t="n">
        <v>46305.49547453703</v>
      </c>
      <c r="B165" t="inlineStr">
        <is>
          <t>采购计划</t>
        </is>
      </c>
      <c r="C165" t="inlineStr">
        <is>
          <t>成功</t>
        </is>
      </c>
      <c r="D165" t="inlineStr">
        <is>
          <t>导入 1 行</t>
        </is>
      </c>
    </row>
    <row r="166">
      <c r="A166" s="4" t="n">
        <v>46305.49866898148</v>
      </c>
      <c r="B166" t="inlineStr">
        <is>
          <t>使用说明</t>
        </is>
      </c>
      <c r="C166" t="inlineStr">
        <is>
          <t>成功</t>
        </is>
      </c>
      <c r="D166" t="inlineStr">
        <is>
          <t>登录成功</t>
        </is>
      </c>
    </row>
    <row r="167">
      <c r="A167" s="4" t="n">
        <v>46305.49869212963</v>
      </c>
      <c r="B167" t="inlineStr">
        <is>
          <t>采购计划</t>
        </is>
      </c>
      <c r="C167" t="inlineStr">
        <is>
          <t>成功</t>
        </is>
      </c>
      <c r="D167" t="inlineStr">
        <is>
          <t>导入 81 行</t>
        </is>
      </c>
    </row>
    <row r="168">
      <c r="A168" s="4" t="n">
        <v>46305.49982638889</v>
      </c>
      <c r="B168" t="inlineStr">
        <is>
          <t>使用说明</t>
        </is>
      </c>
      <c r="C168" t="inlineStr">
        <is>
          <t>成功</t>
        </is>
      </c>
      <c r="D168" t="inlineStr">
        <is>
          <t>登录成功</t>
        </is>
      </c>
    </row>
    <row r="169">
      <c r="A169" s="4" t="n">
        <v>46305.49983796296</v>
      </c>
      <c r="B169" t="inlineStr">
        <is>
          <t>采购计划</t>
        </is>
      </c>
      <c r="C169" t="inlineStr">
        <is>
          <t>成功</t>
        </is>
      </c>
      <c r="D169" t="inlineStr">
        <is>
          <t>导入 6 行</t>
        </is>
      </c>
    </row>
    <row r="170">
      <c r="A170" s="4" t="n">
        <v>46305.5008912037</v>
      </c>
      <c r="B170" t="inlineStr">
        <is>
          <t>使用说明</t>
        </is>
      </c>
      <c r="C170" t="inlineStr">
        <is>
          <t>成功</t>
        </is>
      </c>
      <c r="D170" t="inlineStr">
        <is>
          <t>登录成功</t>
        </is>
      </c>
    </row>
    <row r="171">
      <c r="A171" s="4" t="n">
        <v>46305.50091435185</v>
      </c>
      <c r="B171" t="inlineStr">
        <is>
          <t>采购计划</t>
        </is>
      </c>
      <c r="C171" t="inlineStr">
        <is>
          <t>成功</t>
        </is>
      </c>
      <c r="D171" t="inlineStr">
        <is>
          <t>导入 1 行</t>
        </is>
      </c>
    </row>
    <row r="172">
      <c r="A172" s="4" t="n">
        <v>46307.60056712963</v>
      </c>
      <c r="B172" t="inlineStr">
        <is>
          <t>使用说明</t>
        </is>
      </c>
      <c r="C172" t="inlineStr">
        <is>
          <t>成功</t>
        </is>
      </c>
      <c r="D172" t="inlineStr">
        <is>
          <t>登录成功</t>
        </is>
      </c>
    </row>
    <row r="173">
      <c r="A173" s="4" t="n">
        <v>46307.60057870371</v>
      </c>
      <c r="B173" t="inlineStr">
        <is>
          <t>采购HT</t>
        </is>
      </c>
      <c r="C173" t="inlineStr">
        <is>
          <t>失败</t>
        </is>
      </c>
      <c r="D173" t="inlineStr">
        <is>
          <t>这张表没有对应的导入接口：采购HT</t>
        </is>
      </c>
    </row>
    <row r="174">
      <c r="A174" s="4" t="n">
        <v>46307.60076388889</v>
      </c>
      <c r="B174" t="inlineStr">
        <is>
          <t>采购合同</t>
        </is>
      </c>
      <c r="C174" t="inlineStr">
        <is>
          <t>失败</t>
        </is>
      </c>
      <c r="D174" t="inlineStr">
        <is>
          <t>BMI-GMI-2026011 至少要有一行付款阶段。</t>
        </is>
      </c>
    </row>
    <row r="175">
      <c r="A175" s="4" t="n">
        <v>46307.60086805555</v>
      </c>
      <c r="B175" t="inlineStr">
        <is>
          <t>采购合同</t>
        </is>
      </c>
      <c r="C175" t="inlineStr">
        <is>
          <t>成功</t>
        </is>
      </c>
      <c r="D175" t="inlineStr">
        <is>
          <t>导入 1 份合同</t>
        </is>
      </c>
    </row>
    <row r="176">
      <c r="A176" s="4" t="n">
        <v>46307.60166666667</v>
      </c>
      <c r="B176" t="inlineStr">
        <is>
          <t>使用说明</t>
        </is>
      </c>
      <c r="C176" t="inlineStr">
        <is>
          <t>成功</t>
        </is>
      </c>
      <c r="D176" t="inlineStr">
        <is>
          <t>登录成功</t>
        </is>
      </c>
    </row>
    <row r="177">
      <c r="A177" s="4" t="n">
        <v>46307.60167824074</v>
      </c>
      <c r="B177" t="inlineStr">
        <is>
          <t>采购合同</t>
        </is>
      </c>
      <c r="C177" t="inlineStr">
        <is>
          <t>成功</t>
        </is>
      </c>
      <c r="D177" t="inlineStr">
        <is>
          <t>导入 1 份合同</t>
        </is>
      </c>
    </row>
    <row r="178">
      <c r="A178" s="4" t="n">
        <v>46307.69601851852</v>
      </c>
      <c r="B178" t="inlineStr">
        <is>
          <t>使用说明</t>
        </is>
      </c>
      <c r="C178" t="inlineStr">
        <is>
          <t>成功</t>
        </is>
      </c>
      <c r="D178" t="inlineStr">
        <is>
          <t>登录成功</t>
        </is>
      </c>
    </row>
    <row r="179">
      <c r="A179" s="4" t="n">
        <v>46307.69603009259</v>
      </c>
      <c r="B179" t="inlineStr">
        <is>
          <t>采购合同</t>
        </is>
      </c>
      <c r="C179" t="inlineStr">
        <is>
          <t>失败</t>
        </is>
      </c>
      <c r="D179" t="inlineStr">
        <is>
          <t>BMGG-MAZ-26104 找不到对应客商，请先导入客商。</t>
        </is>
      </c>
    </row>
    <row r="180">
      <c r="A180" s="4" t="n">
        <v>46307.69832175926</v>
      </c>
      <c r="B180" t="inlineStr">
        <is>
          <t>使用说明</t>
        </is>
      </c>
      <c r="C180" t="inlineStr">
        <is>
          <t>成功</t>
        </is>
      </c>
      <c r="D180" t="inlineStr">
        <is>
          <t>登录成功</t>
        </is>
      </c>
    </row>
    <row r="181">
      <c r="A181" s="4" t="n">
        <v>46307.69834490741</v>
      </c>
      <c r="B181" t="inlineStr">
        <is>
          <t>客商</t>
        </is>
      </c>
      <c r="C181" t="inlineStr">
        <is>
          <t>成功</t>
        </is>
      </c>
      <c r="D181" t="inlineStr">
        <is>
          <t>导入 1 条</t>
        </is>
      </c>
    </row>
    <row r="182">
      <c r="A182" s="4" t="n">
        <v>46307.69847222222</v>
      </c>
      <c r="B182" t="inlineStr">
        <is>
          <t>使用说明</t>
        </is>
      </c>
      <c r="C182" t="inlineStr">
        <is>
          <t>成功</t>
        </is>
      </c>
      <c r="D182" t="inlineStr">
        <is>
          <t>登录成功</t>
        </is>
      </c>
    </row>
    <row r="183">
      <c r="A183" s="4" t="n">
        <v>46307.69849537037</v>
      </c>
      <c r="B183" t="inlineStr">
        <is>
          <t>采购合同</t>
        </is>
      </c>
      <c r="C183" t="inlineStr">
        <is>
          <t>失败</t>
        </is>
      </c>
      <c r="D183" t="inlineStr">
        <is>
          <t>客商已停用</t>
        </is>
      </c>
    </row>
    <row r="184">
      <c r="A184" s="4" t="n">
        <v>46307.69866898148</v>
      </c>
      <c r="B184" t="inlineStr">
        <is>
          <t>采购合同</t>
        </is>
      </c>
      <c r="C184" t="inlineStr">
        <is>
          <t>成功</t>
        </is>
      </c>
      <c r="D184" t="inlineStr">
        <is>
          <t>导入 1 份合同</t>
        </is>
      </c>
    </row>
    <row r="185">
      <c r="A185" s="4" t="n">
        <v>46307.70349537037</v>
      </c>
      <c r="B185" t="inlineStr">
        <is>
          <t>使用说明</t>
        </is>
      </c>
      <c r="C185" t="inlineStr">
        <is>
          <t>成功</t>
        </is>
      </c>
      <c r="D185" t="inlineStr">
        <is>
          <t>登录成功</t>
        </is>
      </c>
    </row>
    <row r="186">
      <c r="A186" s="4" t="n">
        <v>46307.70351851852</v>
      </c>
      <c r="B186" t="inlineStr">
        <is>
          <t>客商</t>
        </is>
      </c>
      <c r="C186" t="inlineStr">
        <is>
          <t>成功</t>
        </is>
      </c>
      <c r="D186" t="inlineStr">
        <is>
          <t>导入 1 条</t>
        </is>
      </c>
    </row>
    <row r="187">
      <c r="A187" s="4" t="n">
        <v>46307.70585648148</v>
      </c>
      <c r="B187" t="inlineStr">
        <is>
          <t>使用说明</t>
        </is>
      </c>
      <c r="C187" t="inlineStr">
        <is>
          <t>成功</t>
        </is>
      </c>
      <c r="D187" t="inlineStr">
        <is>
          <t>登录成功</t>
        </is>
      </c>
    </row>
    <row r="188">
      <c r="A188" s="4" t="n">
        <v>46307.70586805556</v>
      </c>
      <c r="B188" t="inlineStr">
        <is>
          <t>采购合同</t>
        </is>
      </c>
      <c r="C188" t="inlineStr">
        <is>
          <t>成功</t>
        </is>
      </c>
      <c r="D188" t="inlineStr">
        <is>
          <t>导入 1 份合同</t>
        </is>
      </c>
    </row>
    <row r="189">
      <c r="A189" s="4" t="n">
        <v>46308.49072916667</v>
      </c>
      <c r="B189" t="inlineStr">
        <is>
          <t>使用说明</t>
        </is>
      </c>
      <c r="C189" t="inlineStr">
        <is>
          <t>成功</t>
        </is>
      </c>
      <c r="D189" t="inlineStr">
        <is>
          <t>登录成功</t>
        </is>
      </c>
    </row>
    <row r="190">
      <c r="A190" s="4" t="n">
        <v>46308.49074074074</v>
      </c>
      <c r="B190" t="inlineStr">
        <is>
          <t>计划</t>
        </is>
      </c>
      <c r="C190" t="inlineStr">
        <is>
          <t>失败</t>
        </is>
      </c>
      <c r="D190" t="inlineStr">
        <is>
          <t>这张表没有对应的导入接口：计划</t>
        </is>
      </c>
    </row>
    <row r="191">
      <c r="A191" s="4" t="n">
        <v>46308.49085648148</v>
      </c>
      <c r="B191" t="inlineStr">
        <is>
          <t>采购计划</t>
        </is>
      </c>
      <c r="C191" t="inlineStr">
        <is>
          <t>成功</t>
        </is>
      </c>
      <c r="D191" t="inlineStr">
        <is>
          <t>导入 20 行</t>
        </is>
      </c>
    </row>
    <row r="192">
      <c r="A192" s="4" t="n">
        <v>46308.49335648148</v>
      </c>
      <c r="B192" t="inlineStr">
        <is>
          <t>使用说明</t>
        </is>
      </c>
      <c r="C192" t="inlineStr">
        <is>
          <t>成功</t>
        </is>
      </c>
      <c r="D192" t="inlineStr">
        <is>
          <t>登录成功</t>
        </is>
      </c>
    </row>
    <row r="193">
      <c r="A193" s="4" t="n">
        <v>46308.49336805556</v>
      </c>
      <c r="B193" t="inlineStr">
        <is>
          <t>客商</t>
        </is>
      </c>
      <c r="C193" t="inlineStr">
        <is>
          <t>成功</t>
        </is>
      </c>
      <c r="D193" t="inlineStr">
        <is>
          <t>导入 1 条</t>
        </is>
      </c>
    </row>
    <row r="194">
      <c r="A194" s="4" t="n">
        <v>46308.624375</v>
      </c>
      <c r="B194" t="inlineStr">
        <is>
          <t>使用说明</t>
        </is>
      </c>
      <c r="C194" t="inlineStr">
        <is>
          <t>成功</t>
        </is>
      </c>
      <c r="D194" t="inlineStr">
        <is>
          <t>登录成功</t>
        </is>
      </c>
    </row>
    <row r="195">
      <c r="A195" s="4" t="n">
        <v>46308.62438657408</v>
      </c>
      <c r="B195" t="inlineStr">
        <is>
          <t>客商</t>
        </is>
      </c>
      <c r="C195" t="inlineStr">
        <is>
          <t>失败</t>
        </is>
      </c>
      <c r="D195" t="inlineStr">
        <is>
          <t>客商第 3 行缺少编码、名称或客商类型。</t>
        </is>
      </c>
    </row>
    <row r="196">
      <c r="A196" s="4" t="n">
        <v>46308.62443287037</v>
      </c>
      <c r="B196" t="inlineStr">
        <is>
          <t>客商</t>
        </is>
      </c>
      <c r="C196" t="inlineStr">
        <is>
          <t>失败</t>
        </is>
      </c>
      <c r="D196" t="inlineStr">
        <is>
          <t>客商第 3 行缺少编码、名称或客商类型。</t>
        </is>
      </c>
    </row>
    <row r="197">
      <c r="A197" s="4" t="n">
        <v>46308.62452546296</v>
      </c>
      <c r="B197" t="inlineStr">
        <is>
          <t>客商</t>
        </is>
      </c>
      <c r="C197" t="inlineStr">
        <is>
          <t>成功</t>
        </is>
      </c>
      <c r="D197" t="inlineStr">
        <is>
          <t>导入 2 条</t>
        </is>
      </c>
    </row>
    <row r="198">
      <c r="A198" s="4" t="n">
        <v>46308.62921296297</v>
      </c>
      <c r="B198" t="inlineStr">
        <is>
          <t>使用说明</t>
        </is>
      </c>
      <c r="C198" t="inlineStr">
        <is>
          <t>成功</t>
        </is>
      </c>
      <c r="D198" t="inlineStr">
        <is>
          <t>登录成功</t>
        </is>
      </c>
    </row>
    <row r="199">
      <c r="A199" s="4" t="n">
        <v>46308.62923611111</v>
      </c>
      <c r="B199" t="inlineStr">
        <is>
          <t>采购合同</t>
        </is>
      </c>
      <c r="C199" t="inlineStr">
        <is>
          <t>成功</t>
        </is>
      </c>
      <c r="D199" t="inlineStr">
        <is>
          <t>导入 1 份合同</t>
        </is>
      </c>
    </row>
    <row r="200">
      <c r="A200" s="4" t="n">
        <v>46308.63083333334</v>
      </c>
      <c r="B200" t="inlineStr">
        <is>
          <t>使用说明</t>
        </is>
      </c>
      <c r="C200" t="inlineStr">
        <is>
          <t>成功</t>
        </is>
      </c>
      <c r="D200" t="inlineStr">
        <is>
          <t>登录成功</t>
        </is>
      </c>
    </row>
    <row r="201">
      <c r="A201" s="4" t="n">
        <v>46308.63084490741</v>
      </c>
      <c r="B201" t="inlineStr">
        <is>
          <t>采购合同</t>
        </is>
      </c>
      <c r="C201" t="inlineStr">
        <is>
          <t>成功</t>
        </is>
      </c>
      <c r="D201" t="inlineStr">
        <is>
          <t>导入 1 份合同</t>
        </is>
      </c>
    </row>
    <row r="202">
      <c r="A202" s="4" t="n">
        <v>46308.65967592593</v>
      </c>
      <c r="B202" t="inlineStr">
        <is>
          <t>使用说明</t>
        </is>
      </c>
      <c r="C202" t="inlineStr">
        <is>
          <t>成功</t>
        </is>
      </c>
      <c r="D202" t="inlineStr">
        <is>
          <t>登录成功</t>
        </is>
      </c>
    </row>
    <row r="203">
      <c r="A203" s="4" t="n">
        <v>46308.6596875</v>
      </c>
      <c r="B203" t="inlineStr">
        <is>
          <t>采购合同</t>
        </is>
      </c>
      <c r="C203" t="inlineStr">
        <is>
          <t>成功</t>
        </is>
      </c>
      <c r="D203" t="inlineStr">
        <is>
          <t>导入 1 份合同</t>
        </is>
      </c>
    </row>
    <row r="204">
      <c r="A204" s="4" t="n">
        <v>46308.66065972222</v>
      </c>
      <c r="B204" t="inlineStr">
        <is>
          <t>使用说明</t>
        </is>
      </c>
      <c r="C204" t="inlineStr">
        <is>
          <t>成功</t>
        </is>
      </c>
      <c r="D204" t="inlineStr">
        <is>
          <t>登录成功</t>
        </is>
      </c>
    </row>
    <row r="205">
      <c r="A205" s="4" t="n">
        <v>46308.66068287037</v>
      </c>
      <c r="B205" t="inlineStr">
        <is>
          <t>采购合同</t>
        </is>
      </c>
      <c r="C205" t="inlineStr">
        <is>
          <t>成功</t>
        </is>
      </c>
      <c r="D205" t="inlineStr">
        <is>
          <t>导入 1 份合同</t>
        </is>
      </c>
    </row>
    <row r="206">
      <c r="A206" s="4" t="n">
        <v>46308.69225694444</v>
      </c>
      <c r="B206" t="inlineStr">
        <is>
          <t>使用说明</t>
        </is>
      </c>
      <c r="C206" t="inlineStr">
        <is>
          <t>成功</t>
        </is>
      </c>
      <c r="D206" t="inlineStr">
        <is>
          <t>登录成功</t>
        </is>
      </c>
    </row>
    <row r="207">
      <c r="A207" s="4" t="n">
        <v>46308.69226851852</v>
      </c>
      <c r="B207" t="inlineStr">
        <is>
          <t>客商</t>
        </is>
      </c>
      <c r="C207" t="inlineStr">
        <is>
          <t>成功</t>
        </is>
      </c>
      <c r="D207" t="inlineStr">
        <is>
          <t>导入 1 条</t>
        </is>
      </c>
    </row>
    <row r="208">
      <c r="A208" s="4" t="n">
        <v>46308.69241898148</v>
      </c>
      <c r="B208" t="inlineStr">
        <is>
          <t>客商</t>
        </is>
      </c>
      <c r="C208" t="inlineStr">
        <is>
          <t>成功</t>
        </is>
      </c>
      <c r="D208" t="inlineStr">
        <is>
          <t>导入 1 条</t>
        </is>
      </c>
    </row>
    <row r="209">
      <c r="A209" s="4" t="n">
        <v>46308.70990740741</v>
      </c>
      <c r="B209" t="inlineStr">
        <is>
          <t>使用说明</t>
        </is>
      </c>
      <c r="C209" t="inlineStr">
        <is>
          <t>成功</t>
        </is>
      </c>
      <c r="D209" t="inlineStr">
        <is>
          <t>登录成功</t>
        </is>
      </c>
    </row>
    <row r="210">
      <c r="A210" s="4" t="n">
        <v>46308.70993055555</v>
      </c>
      <c r="B210" t="inlineStr">
        <is>
          <t>采购合同</t>
        </is>
      </c>
      <c r="C210" t="inlineStr">
        <is>
          <t>成功</t>
        </is>
      </c>
      <c r="D210" t="inlineStr">
        <is>
          <t>导入 1 份合同</t>
        </is>
      </c>
    </row>
    <row r="211">
      <c r="A211" s="4" t="n">
        <v>46309.68136574074</v>
      </c>
      <c r="B211" t="inlineStr">
        <is>
          <t>使用说明</t>
        </is>
      </c>
      <c r="C211" t="inlineStr">
        <is>
          <t>成功</t>
        </is>
      </c>
      <c r="D211" t="inlineStr">
        <is>
          <t>登录成功</t>
        </is>
      </c>
    </row>
    <row r="212">
      <c r="A212" s="4" t="n">
        <v>46309.68137731482</v>
      </c>
      <c r="B212" t="inlineStr">
        <is>
          <t>客商</t>
        </is>
      </c>
      <c r="C212" t="inlineStr">
        <is>
          <t>成功</t>
        </is>
      </c>
      <c r="D212" t="inlineStr">
        <is>
          <t>导入 1 条</t>
        </is>
      </c>
    </row>
    <row r="213">
      <c r="A213" s="4" t="n">
        <v>46309.68269675926</v>
      </c>
      <c r="B213" t="inlineStr">
        <is>
          <t>使用说明</t>
        </is>
      </c>
      <c r="C213" t="inlineStr">
        <is>
          <t>成功</t>
        </is>
      </c>
      <c r="D213" t="inlineStr">
        <is>
          <t>登录成功</t>
        </is>
      </c>
    </row>
    <row r="214">
      <c r="A214" s="4" t="n">
        <v>46309.68270833333</v>
      </c>
      <c r="B214" t="inlineStr">
        <is>
          <t>采购合同</t>
        </is>
      </c>
      <c r="C214" t="inlineStr">
        <is>
          <t>失败</t>
        </is>
      </c>
      <c r="D214" t="inlineStr">
        <is>
          <t>物料 MAZ-NWP-25003 没有采购计划</t>
        </is>
      </c>
    </row>
    <row r="215">
      <c r="A215" s="4" t="n">
        <v>46309.6830787037</v>
      </c>
      <c r="B215" t="inlineStr">
        <is>
          <t>采购计划</t>
        </is>
      </c>
      <c r="C215" t="inlineStr">
        <is>
          <t>成功</t>
        </is>
      </c>
      <c r="D215" t="inlineStr">
        <is>
          <t>导入 1 行</t>
        </is>
      </c>
    </row>
    <row r="216">
      <c r="A216" s="4" t="n">
        <v>46309.68313657407</v>
      </c>
      <c r="B216" t="inlineStr">
        <is>
          <t>采购合同</t>
        </is>
      </c>
      <c r="C216" t="inlineStr">
        <is>
          <t>成功</t>
        </is>
      </c>
      <c r="D216" t="inlineStr">
        <is>
          <t>导入 1 份合同</t>
        </is>
      </c>
    </row>
    <row r="217">
      <c r="A217" s="4" t="n">
        <v>46309.68424768518</v>
      </c>
      <c r="B217" t="inlineStr">
        <is>
          <t>使用说明</t>
        </is>
      </c>
      <c r="C217" t="inlineStr">
        <is>
          <t>成功</t>
        </is>
      </c>
      <c r="D217" t="inlineStr">
        <is>
          <t>登录成功</t>
        </is>
      </c>
    </row>
    <row r="218">
      <c r="A218" s="4" t="n">
        <v>46309.68427083334</v>
      </c>
      <c r="B218" t="inlineStr">
        <is>
          <t>采购计划</t>
        </is>
      </c>
      <c r="C218" t="inlineStr">
        <is>
          <t>成功</t>
        </is>
      </c>
      <c r="D218" t="inlineStr">
        <is>
          <t>导入 1 行</t>
        </is>
      </c>
    </row>
    <row r="219">
      <c r="A219" s="4" t="n">
        <v>46309.68585648148</v>
      </c>
      <c r="B219" t="inlineStr">
        <is>
          <t>使用说明</t>
        </is>
      </c>
      <c r="C219" t="inlineStr">
        <is>
          <t>成功</t>
        </is>
      </c>
      <c r="D219" t="inlineStr">
        <is>
          <t>登录成功</t>
        </is>
      </c>
    </row>
    <row r="220">
      <c r="A220" s="4" t="n">
        <v>46309.68586805555</v>
      </c>
      <c r="B220" t="inlineStr">
        <is>
          <t>采购合同</t>
        </is>
      </c>
      <c r="C220" t="inlineStr">
        <is>
          <t>成功</t>
        </is>
      </c>
      <c r="D220" t="inlineStr">
        <is>
          <t>导入 1 份合同</t>
        </is>
      </c>
    </row>
    <row r="221">
      <c r="A221" s="4" t="n">
        <v>46309.68733796296</v>
      </c>
      <c r="B221" t="inlineStr">
        <is>
          <t>采购合同</t>
        </is>
      </c>
      <c r="C221" t="inlineStr">
        <is>
          <t>失败</t>
        </is>
      </c>
      <c r="D221" t="inlineStr">
        <is>
          <t>阶段计划金额合计与合同金额相差 175000.00</t>
        </is>
      </c>
    </row>
    <row r="222">
      <c r="A222" s="4" t="n">
        <v>46309.71335648148</v>
      </c>
      <c r="B222" t="inlineStr">
        <is>
          <t>使用说明</t>
        </is>
      </c>
      <c r="C222" t="inlineStr">
        <is>
          <t>成功</t>
        </is>
      </c>
      <c r="D222" t="inlineStr">
        <is>
          <t>登录成功</t>
        </is>
      </c>
    </row>
    <row r="223">
      <c r="A223" s="4" t="n">
        <v>46309.71337962963</v>
      </c>
      <c r="B223" t="inlineStr">
        <is>
          <t>进项发票</t>
        </is>
      </c>
      <c r="C223" t="inlineStr">
        <is>
          <t>失败</t>
        </is>
      </c>
      <c r="D223" t="inlineStr">
        <is>
          <t>要求对象</t>
        </is>
      </c>
    </row>
    <row r="224">
      <c r="A224" s="4" t="n">
        <v>46309.71736111111</v>
      </c>
      <c r="B224" t="inlineStr">
        <is>
          <t>使用说明</t>
        </is>
      </c>
      <c r="C224" t="inlineStr">
        <is>
          <t>成功</t>
        </is>
      </c>
      <c r="D224" t="inlineStr">
        <is>
          <t>登录成功</t>
        </is>
      </c>
    </row>
    <row r="225">
      <c r="A225" s="4" t="n">
        <v>46309.71738425926</v>
      </c>
      <c r="B225" t="inlineStr">
        <is>
          <t>采购计划</t>
        </is>
      </c>
      <c r="C225" t="inlineStr">
        <is>
          <t>成功</t>
        </is>
      </c>
      <c r="D225" t="inlineStr">
        <is>
          <t>导入 1 行</t>
        </is>
      </c>
    </row>
    <row r="226">
      <c r="A226" s="4" t="n">
        <v>46309.71755787037</v>
      </c>
      <c r="B226" t="inlineStr">
        <is>
          <t>使用说明</t>
        </is>
      </c>
      <c r="C226" t="inlineStr">
        <is>
          <t>成功</t>
        </is>
      </c>
      <c r="D226" t="inlineStr">
        <is>
          <t>登录成功</t>
        </is>
      </c>
    </row>
    <row r="227">
      <c r="A227" s="4" t="n">
        <v>46309.71758101852</v>
      </c>
      <c r="B227" t="inlineStr">
        <is>
          <t>采购计划</t>
        </is>
      </c>
      <c r="C227" t="inlineStr">
        <is>
          <t>成功</t>
        </is>
      </c>
      <c r="D227" t="inlineStr">
        <is>
          <t>导入 1 行</t>
        </is>
      </c>
    </row>
    <row r="228">
      <c r="A228" s="4" t="n">
        <v>46309.71868055555</v>
      </c>
      <c r="B228" t="inlineStr">
        <is>
          <t>使用说明</t>
        </is>
      </c>
      <c r="C228" t="inlineStr">
        <is>
          <t>成功</t>
        </is>
      </c>
      <c r="D228" t="inlineStr">
        <is>
          <t>登录成功</t>
        </is>
      </c>
    </row>
    <row r="229">
      <c r="A229" s="4" t="n">
        <v>46309.71869212963</v>
      </c>
      <c r="B229" t="inlineStr">
        <is>
          <t>采购合同</t>
        </is>
      </c>
      <c r="C229" t="inlineStr">
        <is>
          <t>失败</t>
        </is>
      </c>
      <c r="D229" t="inlineStr">
        <is>
          <t>物料 MAZ-NWP-25003-2 超出 1</t>
        </is>
      </c>
    </row>
    <row r="230">
      <c r="A230" s="4" t="n">
        <v>46309.71909722222</v>
      </c>
      <c r="B230" t="inlineStr">
        <is>
          <t>采购计划</t>
        </is>
      </c>
      <c r="C230" t="inlineStr">
        <is>
          <t>成功</t>
        </is>
      </c>
      <c r="D230" t="inlineStr">
        <is>
          <t>导入 1 行</t>
        </is>
      </c>
    </row>
    <row r="231">
      <c r="A231" s="4" t="n">
        <v>46309.71918981482</v>
      </c>
      <c r="B231" t="inlineStr">
        <is>
          <t>采购计划</t>
        </is>
      </c>
      <c r="C231" t="inlineStr">
        <is>
          <t>成功</t>
        </is>
      </c>
      <c r="D231" t="inlineStr">
        <is>
          <t>导入 1 行</t>
        </is>
      </c>
    </row>
    <row r="232">
      <c r="A232" s="4" t="n">
        <v>46309.71942129629</v>
      </c>
      <c r="B232" t="inlineStr">
        <is>
          <t>采购合同</t>
        </is>
      </c>
      <c r="C232" t="inlineStr">
        <is>
          <t>失败</t>
        </is>
      </c>
      <c r="D232" t="inlineStr">
        <is>
          <t>阶段计划金额合计与合同金额相差 15925000.00</t>
        </is>
      </c>
    </row>
    <row r="233">
      <c r="A233" s="4" t="n">
        <v>46309.71961805555</v>
      </c>
      <c r="B233" t="inlineStr">
        <is>
          <t>采购合同</t>
        </is>
      </c>
      <c r="C233" t="inlineStr">
        <is>
          <t>失败</t>
        </is>
      </c>
      <c r="D233" t="inlineStr">
        <is>
          <t>阶段计划金额合计与合同金额相差 15750000.00</t>
        </is>
      </c>
    </row>
    <row r="234">
      <c r="A234" s="4" t="n">
        <v>46309.71976851852</v>
      </c>
      <c r="B234" t="inlineStr">
        <is>
          <t>采购合同</t>
        </is>
      </c>
      <c r="C234" t="inlineStr">
        <is>
          <t>失败</t>
        </is>
      </c>
      <c r="D234" t="inlineStr">
        <is>
          <t>阶段计划金额合计与合同金额相差 15750000.00</t>
        </is>
      </c>
    </row>
    <row r="235">
      <c r="A235" s="4" t="n">
        <v>46309.71988425926</v>
      </c>
      <c r="B235" t="inlineStr">
        <is>
          <t>采购合同</t>
        </is>
      </c>
      <c r="C235" t="inlineStr">
        <is>
          <t>成功</t>
        </is>
      </c>
      <c r="D235" t="inlineStr">
        <is>
          <t>导入 1 份合同</t>
        </is>
      </c>
    </row>
    <row r="236">
      <c r="A236" s="4" t="n">
        <v>46309.72065972222</v>
      </c>
      <c r="B236" t="inlineStr">
        <is>
          <t>采购合同</t>
        </is>
      </c>
      <c r="C236" t="inlineStr">
        <is>
          <t>成功</t>
        </is>
      </c>
      <c r="D236" t="inlineStr">
        <is>
          <t>导入 1 份合同</t>
        </is>
      </c>
    </row>
    <row r="237">
      <c r="A237" s="4" t="n">
        <v>46309.72554398148</v>
      </c>
      <c r="B237" t="inlineStr">
        <is>
          <t>使用说明</t>
        </is>
      </c>
      <c r="C237" t="inlineStr">
        <is>
          <t>成功</t>
        </is>
      </c>
      <c r="D237" t="inlineStr">
        <is>
          <t>登录成功</t>
        </is>
      </c>
    </row>
    <row r="238">
      <c r="A238" s="4" t="n">
        <v>46309.72557870371</v>
      </c>
      <c r="B238" t="inlineStr">
        <is>
          <t>进项发票</t>
        </is>
      </c>
      <c r="C238" t="inlineStr">
        <is>
          <t>失败</t>
        </is>
      </c>
      <c r="D238" t="inlineStr">
        <is>
          <t>数值不正确：ROUND(I2/1.13,2)</t>
        </is>
      </c>
    </row>
    <row r="239">
      <c r="A239" s="4" t="n">
        <v>46309.7256712963</v>
      </c>
      <c r="B239" t="inlineStr">
        <is>
          <t>进项发票</t>
        </is>
      </c>
      <c r="C239" t="inlineStr">
        <is>
          <t>失败</t>
        </is>
      </c>
      <c r="D239" t="inlineStr">
        <is>
          <t>要求对象</t>
        </is>
      </c>
    </row>
    <row r="240">
      <c r="A240" s="4" t="n">
        <v>46309.72578703704</v>
      </c>
      <c r="B240" t="inlineStr">
        <is>
          <t>进项发票</t>
        </is>
      </c>
      <c r="C240" t="inlineStr">
        <is>
          <t>失败</t>
        </is>
      </c>
      <c r="D240" t="inlineStr">
        <is>
          <t>要求对象</t>
        </is>
      </c>
    </row>
    <row r="241">
      <c r="A241" s="4" t="n">
        <v>46310.45127314814</v>
      </c>
      <c r="B241" t="inlineStr">
        <is>
          <t>使用说明</t>
        </is>
      </c>
      <c r="C241" t="inlineStr">
        <is>
          <t>成功</t>
        </is>
      </c>
      <c r="D241" t="inlineStr">
        <is>
          <t>登录成功</t>
        </is>
      </c>
    </row>
    <row r="242">
      <c r="A242" s="4" t="n">
        <v>46310.4512962963</v>
      </c>
      <c r="B242" t="inlineStr">
        <is>
          <t>客商</t>
        </is>
      </c>
      <c r="C242" t="inlineStr">
        <is>
          <t>成功</t>
        </is>
      </c>
      <c r="D242" t="inlineStr">
        <is>
          <t>导入 1 条</t>
        </is>
      </c>
    </row>
    <row r="243">
      <c r="A243" s="4" t="n">
        <v>46310.4549537037</v>
      </c>
      <c r="B243" t="inlineStr">
        <is>
          <t>客商</t>
        </is>
      </c>
      <c r="C243" t="inlineStr">
        <is>
          <t>成功</t>
        </is>
      </c>
      <c r="D243" t="inlineStr">
        <is>
          <t>导入 1 条</t>
        </is>
      </c>
    </row>
    <row r="244">
      <c r="A244" s="4" t="n">
        <v>46310.45525462963</v>
      </c>
      <c r="B244" t="inlineStr">
        <is>
          <t>客商</t>
        </is>
      </c>
      <c r="C244" t="inlineStr">
        <is>
          <t>成功</t>
        </is>
      </c>
      <c r="D244" t="inlineStr">
        <is>
          <t>导入 1 条</t>
        </is>
      </c>
    </row>
    <row r="245">
      <c r="A245" s="4" t="n">
        <v>46310.46515046297</v>
      </c>
      <c r="B245" t="inlineStr">
        <is>
          <t>使用说明</t>
        </is>
      </c>
      <c r="C245" t="inlineStr">
        <is>
          <t>成功</t>
        </is>
      </c>
      <c r="D245" t="inlineStr">
        <is>
          <t>登录成功</t>
        </is>
      </c>
    </row>
    <row r="246">
      <c r="A246" s="4" t="n">
        <v>46310.46517361111</v>
      </c>
      <c r="B246" t="inlineStr">
        <is>
          <t>采购计划</t>
        </is>
      </c>
      <c r="C246" t="inlineStr">
        <is>
          <t>成功</t>
        </is>
      </c>
      <c r="D246" t="inlineStr">
        <is>
          <t>导入 1 行</t>
        </is>
      </c>
    </row>
    <row r="247">
      <c r="A247" s="4" t="n">
        <v>46310.46678240741</v>
      </c>
      <c r="B247" t="inlineStr">
        <is>
          <t>使用说明</t>
        </is>
      </c>
      <c r="C247" t="inlineStr">
        <is>
          <t>成功</t>
        </is>
      </c>
      <c r="D247" t="inlineStr">
        <is>
          <t>登录成功</t>
        </is>
      </c>
    </row>
    <row r="248">
      <c r="A248" s="4" t="n">
        <v>46310.46679398148</v>
      </c>
      <c r="B248" t="inlineStr">
        <is>
          <t>采购合同</t>
        </is>
      </c>
      <c r="C248" t="inlineStr">
        <is>
          <t>成功</t>
        </is>
      </c>
      <c r="D248" t="inlineStr">
        <is>
          <t>导入 1 份合同</t>
        </is>
      </c>
    </row>
    <row r="249">
      <c r="A249" s="4" t="n">
        <v>46310.48274305555</v>
      </c>
      <c r="B249" t="inlineStr">
        <is>
          <t>使用说明</t>
        </is>
      </c>
      <c r="C249" t="inlineStr">
        <is>
          <t>成功</t>
        </is>
      </c>
      <c r="D249" t="inlineStr">
        <is>
          <t>登录成功</t>
        </is>
      </c>
    </row>
    <row r="250">
      <c r="A250" s="4" t="n">
        <v>46310.48275462963</v>
      </c>
      <c r="B250" t="inlineStr">
        <is>
          <t>采购合同</t>
        </is>
      </c>
      <c r="C250" t="inlineStr">
        <is>
          <t>失败</t>
        </is>
      </c>
      <c r="D250" t="inlineStr">
        <is>
          <t>物料 MAZ-NWP-2504 超出 10</t>
        </is>
      </c>
    </row>
    <row r="251">
      <c r="A251" s="4" t="n">
        <v>46310.48412037037</v>
      </c>
      <c r="B251" t="inlineStr">
        <is>
          <t>使用说明</t>
        </is>
      </c>
      <c r="C251" t="inlineStr">
        <is>
          <t>成功</t>
        </is>
      </c>
      <c r="D251" t="inlineStr">
        <is>
          <t>登录成功</t>
        </is>
      </c>
    </row>
    <row r="252">
      <c r="A252" s="4" t="n">
        <v>46310.48414351852</v>
      </c>
      <c r="B252" t="inlineStr">
        <is>
          <t>采购计划</t>
        </is>
      </c>
      <c r="C252" t="inlineStr">
        <is>
          <t>成功</t>
        </is>
      </c>
      <c r="D252" t="inlineStr">
        <is>
          <t>导入 1 行</t>
        </is>
      </c>
    </row>
    <row r="253">
      <c r="A253" s="4" t="n">
        <v>46310.48418981482</v>
      </c>
      <c r="B253" t="inlineStr">
        <is>
          <t>使用说明</t>
        </is>
      </c>
      <c r="C253" t="inlineStr">
        <is>
          <t>成功</t>
        </is>
      </c>
      <c r="D253" t="inlineStr">
        <is>
          <t>登录成功</t>
        </is>
      </c>
    </row>
    <row r="254">
      <c r="A254" s="4" t="n">
        <v>46310.48420138889</v>
      </c>
      <c r="B254" t="inlineStr">
        <is>
          <t>采购合同</t>
        </is>
      </c>
      <c r="C254" t="inlineStr">
        <is>
          <t>失败</t>
        </is>
      </c>
      <c r="D254" t="inlineStr">
        <is>
          <t>物料 MAZ-NWP-2504 超出 1</t>
        </is>
      </c>
    </row>
    <row r="255">
      <c r="A255" s="4" t="n">
        <v>46310.48436342592</v>
      </c>
      <c r="B255" t="inlineStr">
        <is>
          <t>采购合同</t>
        </is>
      </c>
      <c r="C255" t="inlineStr">
        <is>
          <t>成功</t>
        </is>
      </c>
      <c r="D255" t="inlineStr">
        <is>
          <t>导入 1 份合同</t>
        </is>
      </c>
    </row>
    <row r="256">
      <c r="A256" s="4" t="n">
        <v>46311.63381944445</v>
      </c>
      <c r="B256" t="inlineStr">
        <is>
          <t>使用说明</t>
        </is>
      </c>
      <c r="C256" t="inlineStr">
        <is>
          <t>成功</t>
        </is>
      </c>
      <c r="D256" t="inlineStr">
        <is>
          <t>登录成功</t>
        </is>
      </c>
    </row>
    <row r="257">
      <c r="A257" s="4" t="n">
        <v>46311.63383101852</v>
      </c>
      <c r="B257" t="inlineStr">
        <is>
          <t>客商</t>
        </is>
      </c>
      <c r="C257" t="inlineStr">
        <is>
          <t>成功</t>
        </is>
      </c>
      <c r="D257" t="inlineStr">
        <is>
          <t>导入 1 条</t>
        </is>
      </c>
    </row>
    <row r="258">
      <c r="A258" s="4" t="n">
        <v>46311.63584490741</v>
      </c>
      <c r="B258" t="inlineStr">
        <is>
          <t>使用说明</t>
        </is>
      </c>
      <c r="C258" t="inlineStr">
        <is>
          <t>成功</t>
        </is>
      </c>
      <c r="D258" t="inlineStr">
        <is>
          <t>登录成功</t>
        </is>
      </c>
    </row>
    <row r="259">
      <c r="A259" s="4" t="n">
        <v>46311.63585648148</v>
      </c>
      <c r="B259" t="inlineStr">
        <is>
          <t>采购合同</t>
        </is>
      </c>
      <c r="C259" t="inlineStr">
        <is>
          <t>成功</t>
        </is>
      </c>
      <c r="D259" t="inlineStr">
        <is>
          <t>导入 1 份合同</t>
        </is>
      </c>
    </row>
    <row r="260">
      <c r="A260" s="4" t="n">
        <v>46311.63861111111</v>
      </c>
      <c r="B260" t="inlineStr">
        <is>
          <t>使用说明</t>
        </is>
      </c>
      <c r="C260" t="inlineStr">
        <is>
          <t>成功</t>
        </is>
      </c>
      <c r="D260" t="inlineStr">
        <is>
          <t>登录成功</t>
        </is>
      </c>
    </row>
    <row r="261">
      <c r="A261" s="4" t="n">
        <v>46311.63862268518</v>
      </c>
      <c r="B261" t="inlineStr">
        <is>
          <t>采购合同</t>
        </is>
      </c>
      <c r="C261" t="inlineStr">
        <is>
          <t>成功</t>
        </is>
      </c>
      <c r="D261" t="inlineStr">
        <is>
          <t>导入 1 份合同</t>
        </is>
      </c>
    </row>
    <row r="262">
      <c r="A262" s="4" t="n">
        <v>46311.64688657408</v>
      </c>
      <c r="B262" t="inlineStr">
        <is>
          <t>采购合同</t>
        </is>
      </c>
      <c r="C262" t="inlineStr">
        <is>
          <t>成功</t>
        </is>
      </c>
      <c r="D262" t="inlineStr">
        <is>
          <t>导入 1 份合同</t>
        </is>
      </c>
    </row>
    <row r="263">
      <c r="A263" s="4" t="n">
        <v>46311.65716435185</v>
      </c>
      <c r="B263" t="inlineStr">
        <is>
          <t>采购合同</t>
        </is>
      </c>
      <c r="C263" t="inlineStr">
        <is>
          <t>成功</t>
        </is>
      </c>
      <c r="D263" t="inlineStr">
        <is>
          <t>导入 1 份合同</t>
        </is>
      </c>
    </row>
    <row r="264">
      <c r="A264" s="4" t="n">
        <v>46315.43423611111</v>
      </c>
      <c r="B264" t="inlineStr">
        <is>
          <t>使用说明</t>
        </is>
      </c>
      <c r="C264" t="inlineStr">
        <is>
          <t>成功</t>
        </is>
      </c>
      <c r="D264" t="inlineStr">
        <is>
          <t>登录成功</t>
        </is>
      </c>
    </row>
    <row r="265">
      <c r="A265" s="4" t="n">
        <v>46315.43424768518</v>
      </c>
      <c r="B265" t="inlineStr">
        <is>
          <t>采购合同</t>
        </is>
      </c>
      <c r="C265" t="inlineStr">
        <is>
          <t>失败</t>
        </is>
      </c>
      <c r="D265" t="inlineStr">
        <is>
          <t>日期格式不正确：46325</t>
        </is>
      </c>
    </row>
    <row r="266">
      <c r="A266" s="4" t="n">
        <v>46315.43439814815</v>
      </c>
      <c r="B266" t="inlineStr">
        <is>
          <t>采购合同</t>
        </is>
      </c>
      <c r="C266" t="inlineStr">
        <is>
          <t>成功</t>
        </is>
      </c>
      <c r="D266" t="inlineStr">
        <is>
          <t>导入 1 份合同</t>
        </is>
      </c>
    </row>
  </sheetData>
  <pageMargins left="0.75" right="0.75" top="1" bottom="1" header="0.5" footer="0.5"/>
</worksheet>
</file>

<file path=xl/worksheets/sheet26.xml><?xml version="1.0" encoding="utf-8"?>
<worksheet xmlns="http://schemas.openxmlformats.org/spreadsheetml/2006/main">
  <sheetPr codeName="Sheet22">
    <outlinePr summaryBelow="1" summaryRight="1"/>
    <pageSetUpPr/>
  </sheetPr>
  <dimension ref="A1:G304"/>
  <sheetViews>
    <sheetView topLeftCell="A7" workbookViewId="0">
      <selection activeCell="A1" sqref="A1"/>
    </sheetView>
  </sheetViews>
  <sheetFormatPr baseColWidth="8" defaultColWidth="9" defaultRowHeight="13.5"/>
  <sheetData>
    <row r="1">
      <c r="A1" s="1" t="inlineStr">
        <is>
          <t>表</t>
        </is>
      </c>
      <c r="B1" s="1" t="inlineStr">
        <is>
          <t>分段</t>
        </is>
      </c>
      <c r="C1" s="1" t="inlineStr">
        <is>
          <t>字段</t>
        </is>
      </c>
      <c r="D1" s="1" t="inlineStr">
        <is>
          <t>键</t>
        </is>
      </c>
      <c r="E1" s="1" t="inlineStr">
        <is>
          <t>必填</t>
        </is>
      </c>
      <c r="F1" s="1" t="inlineStr">
        <is>
          <t>标记</t>
        </is>
      </c>
      <c r="G1" s="1" t="inlineStr">
        <is>
          <t>别名</t>
        </is>
      </c>
    </row>
    <row r="2">
      <c r="A2" t="inlineStr">
        <is>
          <t>客商</t>
        </is>
      </c>
      <c r="B2" t="inlineStr">
        <is>
          <t>明细</t>
        </is>
      </c>
      <c r="C2" t="inlineStr">
        <is>
          <t>客商类型</t>
        </is>
      </c>
      <c r="D2" t="inlineStr">
        <is>
          <t>type</t>
        </is>
      </c>
      <c r="E2" t="inlineStr">
        <is>
          <t>是</t>
        </is>
      </c>
      <c r="G2" t="inlineStr">
        <is>
          <t>类型</t>
        </is>
      </c>
    </row>
    <row r="3">
      <c r="A3" t="inlineStr">
        <is>
          <t>客商</t>
        </is>
      </c>
      <c r="B3" t="inlineStr">
        <is>
          <t>明细</t>
        </is>
      </c>
      <c r="C3" t="inlineStr">
        <is>
          <t>编码</t>
        </is>
      </c>
      <c r="D3" t="inlineStr">
        <is>
          <t>code</t>
        </is>
      </c>
      <c r="E3" t="inlineStr">
        <is>
          <t>是</t>
        </is>
      </c>
      <c r="G3" t="inlineStr">
        <is>
          <t>供应商编码|客户编码</t>
        </is>
      </c>
    </row>
    <row r="4">
      <c r="A4" t="inlineStr">
        <is>
          <t>客商</t>
        </is>
      </c>
      <c r="B4" t="inlineStr">
        <is>
          <t>明细</t>
        </is>
      </c>
      <c r="C4" t="inlineStr">
        <is>
          <t>名称</t>
        </is>
      </c>
      <c r="D4" t="inlineStr">
        <is>
          <t>name</t>
        </is>
      </c>
      <c r="E4" t="inlineStr">
        <is>
          <t>是</t>
        </is>
      </c>
      <c r="G4" t="inlineStr">
        <is>
          <t>供应商名称|客户名称</t>
        </is>
      </c>
    </row>
    <row r="5">
      <c r="A5" t="inlineStr">
        <is>
          <t>客商</t>
        </is>
      </c>
      <c r="B5" t="inlineStr">
        <is>
          <t>明细</t>
        </is>
      </c>
      <c r="C5" t="inlineStr">
        <is>
          <t>简称</t>
        </is>
      </c>
      <c r="D5" t="inlineStr">
        <is>
          <t>short_name</t>
        </is>
      </c>
      <c r="E5" t="inlineStr">
        <is>
          <t>否</t>
        </is>
      </c>
      <c r="G5" t="inlineStr">
        <is>
          <t>供应商简称|客户简称</t>
        </is>
      </c>
    </row>
    <row r="6">
      <c r="A6" t="inlineStr">
        <is>
          <t>客商</t>
        </is>
      </c>
      <c r="B6" t="inlineStr">
        <is>
          <t>明细</t>
        </is>
      </c>
      <c r="C6" t="inlineStr">
        <is>
          <t>联系人</t>
        </is>
      </c>
      <c r="D6" t="inlineStr">
        <is>
          <t>contact_name</t>
        </is>
      </c>
      <c r="E6" t="inlineStr">
        <is>
          <t>否</t>
        </is>
      </c>
    </row>
    <row r="7">
      <c r="A7" t="inlineStr">
        <is>
          <t>客商</t>
        </is>
      </c>
      <c r="B7" t="inlineStr">
        <is>
          <t>明细</t>
        </is>
      </c>
      <c r="C7" t="inlineStr">
        <is>
          <t>联系电话</t>
        </is>
      </c>
      <c r="D7" t="inlineStr">
        <is>
          <t>contact_phone</t>
        </is>
      </c>
      <c r="E7" t="inlineStr">
        <is>
          <t>否</t>
        </is>
      </c>
    </row>
    <row r="8">
      <c r="A8" t="inlineStr">
        <is>
          <t>客商</t>
        </is>
      </c>
      <c r="B8" t="inlineStr">
        <is>
          <t>明细</t>
        </is>
      </c>
      <c r="C8" t="inlineStr">
        <is>
          <t>手机</t>
        </is>
      </c>
      <c r="D8" t="inlineStr">
        <is>
          <t>mobile</t>
        </is>
      </c>
      <c r="E8" t="inlineStr">
        <is>
          <t>否</t>
        </is>
      </c>
    </row>
    <row r="9">
      <c r="A9" t="inlineStr">
        <is>
          <t>客商</t>
        </is>
      </c>
      <c r="B9" t="inlineStr">
        <is>
          <t>明细</t>
        </is>
      </c>
      <c r="C9" t="inlineStr">
        <is>
          <t>邮箱</t>
        </is>
      </c>
      <c r="D9" t="inlineStr">
        <is>
          <t>email</t>
        </is>
      </c>
      <c r="E9" t="inlineStr">
        <is>
          <t>否</t>
        </is>
      </c>
    </row>
    <row r="10">
      <c r="A10" t="inlineStr">
        <is>
          <t>客商</t>
        </is>
      </c>
      <c r="B10" t="inlineStr">
        <is>
          <t>明细</t>
        </is>
      </c>
      <c r="C10" t="inlineStr">
        <is>
          <t>业务员</t>
        </is>
      </c>
      <c r="D10" t="inlineStr">
        <is>
          <t>salesman_id</t>
        </is>
      </c>
      <c r="E10" t="inlineStr">
        <is>
          <t>否</t>
        </is>
      </c>
    </row>
    <row r="11">
      <c r="A11" t="inlineStr">
        <is>
          <t>客商</t>
        </is>
      </c>
      <c r="B11" t="inlineStr">
        <is>
          <t>明细</t>
        </is>
      </c>
      <c r="C11" t="inlineStr">
        <is>
          <t>供应商类别</t>
        </is>
      </c>
      <c r="D11" t="inlineStr">
        <is>
          <t>supplier_category</t>
        </is>
      </c>
      <c r="E11" t="inlineStr">
        <is>
          <t>否</t>
        </is>
      </c>
    </row>
    <row r="12">
      <c r="A12" t="inlineStr">
        <is>
          <t>客商</t>
        </is>
      </c>
      <c r="B12" t="inlineStr">
        <is>
          <t>明细</t>
        </is>
      </c>
      <c r="C12" t="inlineStr">
        <is>
          <t>纳税人识别号</t>
        </is>
      </c>
      <c r="D12" t="inlineStr">
        <is>
          <t>tax_no</t>
        </is>
      </c>
      <c r="E12" t="inlineStr">
        <is>
          <t>否</t>
        </is>
      </c>
      <c r="G12" t="inlineStr">
        <is>
          <t>税号</t>
        </is>
      </c>
    </row>
    <row r="13">
      <c r="A13" t="inlineStr">
        <is>
          <t>客商</t>
        </is>
      </c>
      <c r="B13" t="inlineStr">
        <is>
          <t>明细</t>
        </is>
      </c>
      <c r="C13" t="inlineStr">
        <is>
          <t>默认税率</t>
        </is>
      </c>
      <c r="D13" t="inlineStr">
        <is>
          <t>default_tax_rate</t>
        </is>
      </c>
      <c r="E13" t="inlineStr">
        <is>
          <t>否</t>
        </is>
      </c>
    </row>
    <row r="14">
      <c r="A14" t="inlineStr">
        <is>
          <t>客商</t>
        </is>
      </c>
      <c r="B14" t="inlineStr">
        <is>
          <t>明细</t>
        </is>
      </c>
      <c r="C14" t="inlineStr">
        <is>
          <t>开票名称</t>
        </is>
      </c>
      <c r="D14" t="inlineStr">
        <is>
          <t>invoice_title</t>
        </is>
      </c>
      <c r="E14" t="inlineStr">
        <is>
          <t>否</t>
        </is>
      </c>
    </row>
    <row r="15">
      <c r="A15" t="inlineStr">
        <is>
          <t>客商</t>
        </is>
      </c>
      <c r="B15" t="inlineStr">
        <is>
          <t>明细</t>
        </is>
      </c>
      <c r="C15" t="inlineStr">
        <is>
          <t>开户银行</t>
        </is>
      </c>
      <c r="D15" t="inlineStr">
        <is>
          <t>bank_name</t>
        </is>
      </c>
      <c r="E15" t="inlineStr">
        <is>
          <t>否</t>
        </is>
      </c>
    </row>
    <row r="16">
      <c r="A16" t="inlineStr">
        <is>
          <t>客商</t>
        </is>
      </c>
      <c r="B16" t="inlineStr">
        <is>
          <t>明细</t>
        </is>
      </c>
      <c r="C16" t="inlineStr">
        <is>
          <t>账户名称</t>
        </is>
      </c>
      <c r="D16" t="inlineStr">
        <is>
          <t>account_name</t>
        </is>
      </c>
      <c r="E16" t="inlineStr">
        <is>
          <t>否</t>
        </is>
      </c>
    </row>
    <row r="17">
      <c r="A17" t="inlineStr">
        <is>
          <t>客商</t>
        </is>
      </c>
      <c r="B17" t="inlineStr">
        <is>
          <t>明细</t>
        </is>
      </c>
      <c r="C17" t="inlineStr">
        <is>
          <t>银行账号</t>
        </is>
      </c>
      <c r="D17" t="inlineStr">
        <is>
          <t>bank_account</t>
        </is>
      </c>
      <c r="E17" t="inlineStr">
        <is>
          <t>否</t>
        </is>
      </c>
    </row>
    <row r="18">
      <c r="A18" t="inlineStr">
        <is>
          <t>客商</t>
        </is>
      </c>
      <c r="B18" t="inlineStr">
        <is>
          <t>明细</t>
        </is>
      </c>
      <c r="C18" t="inlineStr">
        <is>
          <t>开户支行</t>
        </is>
      </c>
      <c r="D18" t="inlineStr">
        <is>
          <t>bank_branch</t>
        </is>
      </c>
      <c r="E18" t="inlineStr">
        <is>
          <t>否</t>
        </is>
      </c>
    </row>
    <row r="19">
      <c r="A19" t="inlineStr">
        <is>
          <t>客商</t>
        </is>
      </c>
      <c r="B19" t="inlineStr">
        <is>
          <t>明细</t>
        </is>
      </c>
      <c r="C19" t="inlineStr">
        <is>
          <t>开票电话</t>
        </is>
      </c>
      <c r="D19" t="inlineStr">
        <is>
          <t>invoice_phone</t>
        </is>
      </c>
      <c r="E19" t="inlineStr">
        <is>
          <t>否</t>
        </is>
      </c>
    </row>
    <row r="20">
      <c r="A20" t="inlineStr">
        <is>
          <t>客商</t>
        </is>
      </c>
      <c r="B20" t="inlineStr">
        <is>
          <t>明细</t>
        </is>
      </c>
      <c r="C20" t="inlineStr">
        <is>
          <t>开票地址</t>
        </is>
      </c>
      <c r="D20" t="inlineStr">
        <is>
          <t>invoice_address</t>
        </is>
      </c>
      <c r="E20" t="inlineStr">
        <is>
          <t>否</t>
        </is>
      </c>
    </row>
    <row r="21">
      <c r="A21" t="inlineStr">
        <is>
          <t>客商</t>
        </is>
      </c>
      <c r="B21" t="inlineStr">
        <is>
          <t>明细</t>
        </is>
      </c>
      <c r="C21" t="inlineStr">
        <is>
          <t>通讯地址</t>
        </is>
      </c>
      <c r="D21" t="inlineStr">
        <is>
          <t>address</t>
        </is>
      </c>
      <c r="E21" t="inlineStr">
        <is>
          <t>否</t>
        </is>
      </c>
      <c r="G21" t="inlineStr">
        <is>
          <t>地址</t>
        </is>
      </c>
    </row>
    <row r="22">
      <c r="A22" t="inlineStr">
        <is>
          <t>客商</t>
        </is>
      </c>
      <c r="B22" t="inlineStr">
        <is>
          <t>明细</t>
        </is>
      </c>
      <c r="C22" t="inlineStr">
        <is>
          <t>法人代表</t>
        </is>
      </c>
      <c r="D22" t="inlineStr">
        <is>
          <t>legal_name</t>
        </is>
      </c>
      <c r="E22" t="inlineStr">
        <is>
          <t>否</t>
        </is>
      </c>
    </row>
    <row r="23">
      <c r="A23" t="inlineStr">
        <is>
          <t>客商</t>
        </is>
      </c>
      <c r="B23" t="inlineStr">
        <is>
          <t>明细</t>
        </is>
      </c>
      <c r="C23" t="inlineStr">
        <is>
          <t>委托代理人</t>
        </is>
      </c>
      <c r="D23" t="inlineStr">
        <is>
          <t>agent_name</t>
        </is>
      </c>
      <c r="E23" t="inlineStr">
        <is>
          <t>否</t>
        </is>
      </c>
    </row>
    <row r="24">
      <c r="A24" t="inlineStr">
        <is>
          <t>客商</t>
        </is>
      </c>
      <c r="B24" t="inlineStr">
        <is>
          <t>明细</t>
        </is>
      </c>
      <c r="C24" t="inlineStr">
        <is>
          <t>状态</t>
        </is>
      </c>
      <c r="D24" t="inlineStr">
        <is>
          <t>status</t>
        </is>
      </c>
      <c r="E24" t="inlineStr">
        <is>
          <t>否</t>
        </is>
      </c>
    </row>
    <row r="25">
      <c r="A25" t="inlineStr">
        <is>
          <t>客商</t>
        </is>
      </c>
      <c r="B25" t="inlineStr">
        <is>
          <t>明细</t>
        </is>
      </c>
      <c r="C25" t="inlineStr">
        <is>
          <t>备注</t>
        </is>
      </c>
      <c r="D25" t="inlineStr">
        <is>
          <t>remark</t>
        </is>
      </c>
      <c r="E25" t="inlineStr">
        <is>
          <t>否</t>
        </is>
      </c>
    </row>
    <row r="26">
      <c r="A26" t="inlineStr">
        <is>
          <t>项目</t>
        </is>
      </c>
      <c r="B26" t="inlineStr">
        <is>
          <t>明细</t>
        </is>
      </c>
      <c r="C26" t="inlineStr">
        <is>
          <t>项目编号</t>
        </is>
      </c>
      <c r="D26" t="inlineStr">
        <is>
          <t>project_code</t>
        </is>
      </c>
      <c r="E26" t="inlineStr">
        <is>
          <t>是</t>
        </is>
      </c>
    </row>
    <row r="27">
      <c r="A27" t="inlineStr">
        <is>
          <t>项目</t>
        </is>
      </c>
      <c r="B27" t="inlineStr">
        <is>
          <t>明细</t>
        </is>
      </c>
      <c r="C27" t="inlineStr">
        <is>
          <t>项目名称</t>
        </is>
      </c>
      <c r="D27" t="inlineStr">
        <is>
          <t>name</t>
        </is>
      </c>
      <c r="E27" t="inlineStr">
        <is>
          <t>是</t>
        </is>
      </c>
    </row>
    <row r="28">
      <c r="A28" t="inlineStr">
        <is>
          <t>项目</t>
        </is>
      </c>
      <c r="B28" t="inlineStr">
        <is>
          <t>明细</t>
        </is>
      </c>
      <c r="C28" t="inlineStr">
        <is>
          <t>年度</t>
        </is>
      </c>
      <c r="D28" t="inlineStr">
        <is>
          <t>year</t>
        </is>
      </c>
      <c r="E28" t="inlineStr">
        <is>
          <t>否</t>
        </is>
      </c>
    </row>
    <row r="29">
      <c r="A29" t="inlineStr">
        <is>
          <t>项目</t>
        </is>
      </c>
      <c r="B29" t="inlineStr">
        <is>
          <t>明细</t>
        </is>
      </c>
      <c r="C29" t="inlineStr">
        <is>
          <t>项目类型</t>
        </is>
      </c>
      <c r="D29" t="inlineStr">
        <is>
          <t>project_type</t>
        </is>
      </c>
      <c r="E29" t="inlineStr">
        <is>
          <t>否</t>
        </is>
      </c>
    </row>
    <row r="30">
      <c r="A30" t="inlineStr">
        <is>
          <t>项目</t>
        </is>
      </c>
      <c r="B30" t="inlineStr">
        <is>
          <t>明细</t>
        </is>
      </c>
      <c r="C30" t="inlineStr">
        <is>
          <t>来源</t>
        </is>
      </c>
      <c r="D30" t="inlineStr">
        <is>
          <t>source</t>
        </is>
      </c>
      <c r="E30" t="inlineStr">
        <is>
          <t>否</t>
        </is>
      </c>
    </row>
    <row r="31">
      <c r="A31" t="inlineStr">
        <is>
          <t>项目</t>
        </is>
      </c>
      <c r="B31" t="inlineStr">
        <is>
          <t>明细</t>
        </is>
      </c>
      <c r="C31" t="inlineStr">
        <is>
          <t>客户名称</t>
        </is>
      </c>
      <c r="D31" t="inlineStr">
        <is>
          <t>customer_name</t>
        </is>
      </c>
      <c r="E31" t="inlineStr">
        <is>
          <t>否</t>
        </is>
      </c>
    </row>
    <row r="32">
      <c r="A32" t="inlineStr">
        <is>
          <t>项目</t>
        </is>
      </c>
      <c r="B32" t="inlineStr">
        <is>
          <t>明细</t>
        </is>
      </c>
      <c r="C32" t="inlineStr">
        <is>
          <t>开始日期</t>
        </is>
      </c>
      <c r="D32" t="inlineStr">
        <is>
          <t>start_date</t>
        </is>
      </c>
      <c r="E32" t="inlineStr">
        <is>
          <t>否</t>
        </is>
      </c>
    </row>
    <row r="33">
      <c r="A33" t="inlineStr">
        <is>
          <t>项目</t>
        </is>
      </c>
      <c r="B33" t="inlineStr">
        <is>
          <t>明细</t>
        </is>
      </c>
      <c r="C33" t="inlineStr">
        <is>
          <t>结束日期</t>
        </is>
      </c>
      <c r="D33" t="inlineStr">
        <is>
          <t>end_date</t>
        </is>
      </c>
      <c r="E33" t="inlineStr">
        <is>
          <t>否</t>
        </is>
      </c>
    </row>
    <row r="34">
      <c r="A34" t="inlineStr">
        <is>
          <t>项目</t>
        </is>
      </c>
      <c r="B34" t="inlineStr">
        <is>
          <t>明细</t>
        </is>
      </c>
      <c r="C34" t="inlineStr">
        <is>
          <t>状态</t>
        </is>
      </c>
      <c r="D34" t="inlineStr">
        <is>
          <t>status</t>
        </is>
      </c>
      <c r="E34" t="inlineStr">
        <is>
          <t>否</t>
        </is>
      </c>
    </row>
    <row r="35">
      <c r="A35" t="inlineStr">
        <is>
          <t>项目</t>
        </is>
      </c>
      <c r="B35" t="inlineStr">
        <is>
          <t>明细</t>
        </is>
      </c>
      <c r="C35" t="inlineStr">
        <is>
          <t>备注</t>
        </is>
      </c>
      <c r="D35" t="inlineStr">
        <is>
          <t>remark</t>
        </is>
      </c>
      <c r="E35" t="inlineStr">
        <is>
          <t>否</t>
        </is>
      </c>
    </row>
    <row r="36">
      <c r="A36" t="inlineStr">
        <is>
          <t>采购合同</t>
        </is>
      </c>
      <c r="B36" t="inlineStr">
        <is>
          <t>主表</t>
        </is>
      </c>
      <c r="C36" t="inlineStr">
        <is>
          <t>合同编号</t>
        </is>
      </c>
      <c r="D36" t="inlineStr">
        <is>
          <t>contract_code</t>
        </is>
      </c>
      <c r="E36" t="inlineStr">
        <is>
          <t>是</t>
        </is>
      </c>
    </row>
    <row r="37">
      <c r="A37" t="inlineStr">
        <is>
          <t>采购合同</t>
        </is>
      </c>
      <c r="B37" t="inlineStr">
        <is>
          <t>主表</t>
        </is>
      </c>
      <c r="C37" t="inlineStr">
        <is>
          <t>合同名称</t>
        </is>
      </c>
      <c r="D37" t="inlineStr">
        <is>
          <t>name</t>
        </is>
      </c>
      <c r="E37" t="inlineStr">
        <is>
          <t>否</t>
        </is>
      </c>
    </row>
    <row r="38">
      <c r="A38" t="inlineStr">
        <is>
          <t>采购合同</t>
        </is>
      </c>
      <c r="B38" t="inlineStr">
        <is>
          <t>主表</t>
        </is>
      </c>
      <c r="C38" t="inlineStr">
        <is>
          <t>合同类型</t>
        </is>
      </c>
      <c r="D38" t="inlineStr">
        <is>
          <t>type_name</t>
        </is>
      </c>
      <c r="E38" t="inlineStr">
        <is>
          <t>否</t>
        </is>
      </c>
    </row>
    <row r="39">
      <c r="A39" t="inlineStr">
        <is>
          <t>采购合同</t>
        </is>
      </c>
      <c r="B39" t="inlineStr">
        <is>
          <t>主表</t>
        </is>
      </c>
      <c r="C39" t="inlineStr">
        <is>
          <t>供应商</t>
        </is>
      </c>
      <c r="D39" t="inlineStr">
        <is>
          <t>party_name</t>
        </is>
      </c>
      <c r="E39" t="inlineStr">
        <is>
          <t>或</t>
        </is>
      </c>
      <c r="G39" t="inlineStr">
        <is>
          <t>供应商名称|对方名称</t>
        </is>
      </c>
    </row>
    <row r="40">
      <c r="A40" t="inlineStr">
        <is>
          <t>采购合同</t>
        </is>
      </c>
      <c r="B40" t="inlineStr">
        <is>
          <t>主表</t>
        </is>
      </c>
      <c r="C40" t="inlineStr">
        <is>
          <t>供应商编码</t>
        </is>
      </c>
      <c r="D40" t="inlineStr">
        <is>
          <t>party_code</t>
        </is>
      </c>
      <c r="E40" t="inlineStr">
        <is>
          <t>或</t>
        </is>
      </c>
      <c r="G40" t="inlineStr">
        <is>
          <t>对方编码</t>
        </is>
      </c>
    </row>
    <row r="41">
      <c r="A41" t="inlineStr">
        <is>
          <t>采购合同</t>
        </is>
      </c>
      <c r="B41" t="inlineStr">
        <is>
          <t>主表</t>
        </is>
      </c>
      <c r="C41" t="inlineStr">
        <is>
          <t>业务员</t>
        </is>
      </c>
      <c r="D41" t="inlineStr">
        <is>
          <t>owner_id</t>
        </is>
      </c>
      <c r="E41" t="inlineStr">
        <is>
          <t>否</t>
        </is>
      </c>
      <c r="G41" t="inlineStr">
        <is>
          <t>业务员员工编号</t>
        </is>
      </c>
    </row>
    <row r="42">
      <c r="A42" t="inlineStr">
        <is>
          <t>采购合同</t>
        </is>
      </c>
      <c r="B42" t="inlineStr">
        <is>
          <t>主表</t>
        </is>
      </c>
      <c r="C42" t="inlineStr">
        <is>
          <t>项目编号</t>
        </is>
      </c>
      <c r="D42" t="inlineStr">
        <is>
          <t>project_code</t>
        </is>
      </c>
      <c r="E42" t="inlineStr">
        <is>
          <t>否</t>
        </is>
      </c>
    </row>
    <row r="43">
      <c r="A43" t="inlineStr">
        <is>
          <t>采购合同</t>
        </is>
      </c>
      <c r="B43" t="inlineStr">
        <is>
          <t>主表</t>
        </is>
      </c>
      <c r="C43" t="inlineStr">
        <is>
          <t>合同状态</t>
        </is>
      </c>
      <c r="D43" t="inlineStr">
        <is>
          <t>status</t>
        </is>
      </c>
      <c r="E43" t="inlineStr">
        <is>
          <t>否</t>
        </is>
      </c>
    </row>
    <row r="44">
      <c r="A44" t="inlineStr">
        <is>
          <t>采购合同</t>
        </is>
      </c>
      <c r="B44" t="inlineStr">
        <is>
          <t>主表</t>
        </is>
      </c>
      <c r="C44" t="inlineStr">
        <is>
          <t>计价方式</t>
        </is>
      </c>
      <c r="D44" t="inlineStr">
        <is>
          <t>pricing</t>
        </is>
      </c>
      <c r="E44" t="inlineStr">
        <is>
          <t>否</t>
        </is>
      </c>
    </row>
    <row r="45">
      <c r="A45" t="inlineStr">
        <is>
          <t>采购合同</t>
        </is>
      </c>
      <c r="B45" t="inlineStr">
        <is>
          <t>主表</t>
        </is>
      </c>
      <c r="C45" t="inlineStr">
        <is>
          <t>税率</t>
        </is>
      </c>
      <c r="D45" t="inlineStr">
        <is>
          <t>tax_rate</t>
        </is>
      </c>
      <c r="E45" t="inlineStr">
        <is>
          <t>否</t>
        </is>
      </c>
    </row>
    <row r="46">
      <c r="A46" t="inlineStr">
        <is>
          <t>采购合同</t>
        </is>
      </c>
      <c r="B46" t="inlineStr">
        <is>
          <t>主表</t>
        </is>
      </c>
      <c r="C46" t="inlineStr">
        <is>
          <t>签订日期</t>
        </is>
      </c>
      <c r="D46" t="inlineStr">
        <is>
          <t>sign_date</t>
        </is>
      </c>
      <c r="E46" t="inlineStr">
        <is>
          <t>否</t>
        </is>
      </c>
    </row>
    <row r="47">
      <c r="A47" t="inlineStr">
        <is>
          <t>采购合同</t>
        </is>
      </c>
      <c r="B47" t="inlineStr">
        <is>
          <t>主表</t>
        </is>
      </c>
      <c r="C47" t="inlineStr">
        <is>
          <t>开始日期</t>
        </is>
      </c>
      <c r="D47" t="inlineStr">
        <is>
          <t>start_date</t>
        </is>
      </c>
      <c r="E47" t="inlineStr">
        <is>
          <t>否</t>
        </is>
      </c>
    </row>
    <row r="48">
      <c r="A48" t="inlineStr">
        <is>
          <t>采购合同</t>
        </is>
      </c>
      <c r="B48" t="inlineStr">
        <is>
          <t>主表</t>
        </is>
      </c>
      <c r="C48" t="inlineStr">
        <is>
          <t>结束日期</t>
        </is>
      </c>
      <c r="D48" t="inlineStr">
        <is>
          <t>end_date</t>
        </is>
      </c>
      <c r="E48" t="inlineStr">
        <is>
          <t>否</t>
        </is>
      </c>
    </row>
    <row r="49">
      <c r="A49" t="inlineStr">
        <is>
          <t>采购合同</t>
        </is>
      </c>
      <c r="B49" t="inlineStr">
        <is>
          <t>主表</t>
        </is>
      </c>
      <c r="C49" t="inlineStr">
        <is>
          <t>标的名称</t>
        </is>
      </c>
      <c r="D49" t="inlineStr">
        <is>
          <t>subject_name</t>
        </is>
      </c>
      <c r="E49" t="inlineStr">
        <is>
          <t>否</t>
        </is>
      </c>
    </row>
    <row r="50">
      <c r="A50" t="inlineStr">
        <is>
          <t>采购合同</t>
        </is>
      </c>
      <c r="B50" t="inlineStr">
        <is>
          <t>主表</t>
        </is>
      </c>
      <c r="C50" t="inlineStr">
        <is>
          <t>收货地址</t>
        </is>
      </c>
      <c r="D50" t="inlineStr">
        <is>
          <t>ship_address</t>
        </is>
      </c>
      <c r="E50" t="inlineStr">
        <is>
          <t>否</t>
        </is>
      </c>
    </row>
    <row r="51">
      <c r="A51" t="inlineStr">
        <is>
          <t>采购合同</t>
        </is>
      </c>
      <c r="B51" t="inlineStr">
        <is>
          <t>主表</t>
        </is>
      </c>
      <c r="C51" t="inlineStr">
        <is>
          <t>收货人</t>
        </is>
      </c>
      <c r="D51" t="inlineStr">
        <is>
          <t>receiver_name</t>
        </is>
      </c>
      <c r="E51" t="inlineStr">
        <is>
          <t>否</t>
        </is>
      </c>
    </row>
    <row r="52">
      <c r="A52" t="inlineStr">
        <is>
          <t>采购合同</t>
        </is>
      </c>
      <c r="B52" t="inlineStr">
        <is>
          <t>主表</t>
        </is>
      </c>
      <c r="C52" t="inlineStr">
        <is>
          <t>运输方式</t>
        </is>
      </c>
      <c r="D52" t="inlineStr">
        <is>
          <t>transport_mode</t>
        </is>
      </c>
      <c r="E52" t="inlineStr">
        <is>
          <t>否</t>
        </is>
      </c>
    </row>
    <row r="53">
      <c r="A53" t="inlineStr">
        <is>
          <t>采购合同</t>
        </is>
      </c>
      <c r="B53" t="inlineStr">
        <is>
          <t>主表</t>
        </is>
      </c>
      <c r="C53" t="inlineStr">
        <is>
          <t>交货期限</t>
        </is>
      </c>
      <c r="D53" t="inlineStr">
        <is>
          <t>delivery_term</t>
        </is>
      </c>
      <c r="E53" t="inlineStr">
        <is>
          <t>否</t>
        </is>
      </c>
    </row>
    <row r="54">
      <c r="A54" t="inlineStr">
        <is>
          <t>采购合同</t>
        </is>
      </c>
      <c r="B54" t="inlineStr">
        <is>
          <t>主表</t>
        </is>
      </c>
      <c r="C54" t="inlineStr">
        <is>
          <t>运费承担</t>
        </is>
      </c>
      <c r="D54" t="inlineStr">
        <is>
          <t>freight_bearer</t>
        </is>
      </c>
      <c r="E54" t="inlineStr">
        <is>
          <t>否</t>
        </is>
      </c>
    </row>
    <row r="55">
      <c r="A55" t="inlineStr">
        <is>
          <t>采购合同</t>
        </is>
      </c>
      <c r="B55" t="inlineStr">
        <is>
          <t>主表</t>
        </is>
      </c>
      <c r="C55" t="inlineStr">
        <is>
          <t>付款条款</t>
        </is>
      </c>
      <c r="D55" t="inlineStr">
        <is>
          <t>terms</t>
        </is>
      </c>
      <c r="E55" t="inlineStr">
        <is>
          <t>否</t>
        </is>
      </c>
      <c r="G55" t="inlineStr">
        <is>
          <t>条款</t>
        </is>
      </c>
    </row>
    <row r="56">
      <c r="A56" t="inlineStr">
        <is>
          <t>采购合同</t>
        </is>
      </c>
      <c r="B56" t="inlineStr">
        <is>
          <t>主表</t>
        </is>
      </c>
      <c r="C56" t="inlineStr">
        <is>
          <t>验收标准</t>
        </is>
      </c>
      <c r="D56" t="inlineStr">
        <is>
          <t>acceptance_text</t>
        </is>
      </c>
      <c r="E56" t="inlineStr">
        <is>
          <t>否</t>
        </is>
      </c>
    </row>
    <row r="57">
      <c r="A57" t="inlineStr">
        <is>
          <t>采购合同</t>
        </is>
      </c>
      <c r="B57" t="inlineStr">
        <is>
          <t>主表</t>
        </is>
      </c>
      <c r="C57" t="inlineStr">
        <is>
          <t>附件说明</t>
        </is>
      </c>
      <c r="D57" t="inlineStr">
        <is>
          <t>annex_note</t>
        </is>
      </c>
      <c r="E57" t="inlineStr">
        <is>
          <t>否</t>
        </is>
      </c>
    </row>
    <row r="58">
      <c r="A58" t="inlineStr">
        <is>
          <t>采购合同</t>
        </is>
      </c>
      <c r="B58" t="inlineStr">
        <is>
          <t>主表</t>
        </is>
      </c>
      <c r="C58" t="inlineStr">
        <is>
          <t>内容概述</t>
        </is>
      </c>
      <c r="D58" t="inlineStr">
        <is>
          <t>content</t>
        </is>
      </c>
      <c r="E58" t="inlineStr">
        <is>
          <t>否</t>
        </is>
      </c>
    </row>
    <row r="59">
      <c r="A59" t="inlineStr">
        <is>
          <t>采购合同</t>
        </is>
      </c>
      <c r="B59" t="inlineStr">
        <is>
          <t>主表</t>
        </is>
      </c>
      <c r="C59" t="inlineStr">
        <is>
          <t>备注</t>
        </is>
      </c>
      <c r="D59" t="inlineStr">
        <is>
          <t>remark</t>
        </is>
      </c>
      <c r="E59" t="inlineStr">
        <is>
          <t>否</t>
        </is>
      </c>
    </row>
    <row r="60">
      <c r="A60" t="inlineStr">
        <is>
          <t>采购合同</t>
        </is>
      </c>
      <c r="B60" t="inlineStr">
        <is>
          <t>物料明细</t>
        </is>
      </c>
      <c r="C60" t="inlineStr">
        <is>
          <t>合同编号</t>
        </is>
      </c>
      <c r="D60" t="inlineStr">
        <is>
          <t>contract_code</t>
        </is>
      </c>
      <c r="E60" t="inlineStr">
        <is>
          <t>否</t>
        </is>
      </c>
      <c r="G60" t="inlineStr">
        <is>
          <t>对应合同编号</t>
        </is>
      </c>
    </row>
    <row r="61">
      <c r="A61" t="inlineStr">
        <is>
          <t>采购合同</t>
        </is>
      </c>
      <c r="B61" t="inlineStr">
        <is>
          <t>物料明细</t>
        </is>
      </c>
      <c r="C61" t="inlineStr">
        <is>
          <t>物料编号</t>
        </is>
      </c>
      <c r="D61" t="inlineStr">
        <is>
          <t>material_code</t>
        </is>
      </c>
      <c r="E61" t="inlineStr">
        <is>
          <t>是</t>
        </is>
      </c>
    </row>
    <row r="62">
      <c r="A62" t="inlineStr">
        <is>
          <t>采购合同</t>
        </is>
      </c>
      <c r="B62" t="inlineStr">
        <is>
          <t>物料明细</t>
        </is>
      </c>
      <c r="C62" t="inlineStr">
        <is>
          <t>中文名称</t>
        </is>
      </c>
      <c r="D62" t="inlineStr">
        <is>
          <t>name_cn</t>
        </is>
      </c>
      <c r="E62" t="inlineStr">
        <is>
          <t>否</t>
        </is>
      </c>
    </row>
    <row r="63">
      <c r="A63" t="inlineStr">
        <is>
          <t>采购合同</t>
        </is>
      </c>
      <c r="B63" t="inlineStr">
        <is>
          <t>物料明细</t>
        </is>
      </c>
      <c r="C63" t="inlineStr">
        <is>
          <t>英文名称</t>
        </is>
      </c>
      <c r="D63" t="inlineStr">
        <is>
          <t>name_en</t>
        </is>
      </c>
      <c r="E63" t="inlineStr">
        <is>
          <t>否</t>
        </is>
      </c>
    </row>
    <row r="64">
      <c r="A64" t="inlineStr">
        <is>
          <t>采购合同</t>
        </is>
      </c>
      <c r="B64" t="inlineStr">
        <is>
          <t>物料明细</t>
        </is>
      </c>
      <c r="C64" t="inlineStr">
        <is>
          <t>规格</t>
        </is>
      </c>
      <c r="D64" t="inlineStr">
        <is>
          <t>spec</t>
        </is>
      </c>
      <c r="E64" t="inlineStr">
        <is>
          <t>否</t>
        </is>
      </c>
      <c r="G64" t="inlineStr">
        <is>
          <t>规格型号</t>
        </is>
      </c>
    </row>
    <row r="65">
      <c r="A65" t="inlineStr">
        <is>
          <t>采购合同</t>
        </is>
      </c>
      <c r="B65" t="inlineStr">
        <is>
          <t>物料明细</t>
        </is>
      </c>
      <c r="C65" t="inlineStr">
        <is>
          <t>单位</t>
        </is>
      </c>
      <c r="D65" t="inlineStr">
        <is>
          <t>unit</t>
        </is>
      </c>
      <c r="E65" t="inlineStr">
        <is>
          <t>否</t>
        </is>
      </c>
    </row>
    <row r="66">
      <c r="A66" t="inlineStr">
        <is>
          <t>采购合同</t>
        </is>
      </c>
      <c r="B66" t="inlineStr">
        <is>
          <t>物料明细</t>
        </is>
      </c>
      <c r="C66" t="inlineStr">
        <is>
          <t>数量</t>
        </is>
      </c>
      <c r="D66" t="inlineStr">
        <is>
          <t>qty</t>
        </is>
      </c>
      <c r="E66" t="inlineStr">
        <is>
          <t>是</t>
        </is>
      </c>
    </row>
    <row r="67">
      <c r="A67" t="inlineStr">
        <is>
          <t>采购合同</t>
        </is>
      </c>
      <c r="B67" t="inlineStr">
        <is>
          <t>物料明细</t>
        </is>
      </c>
      <c r="C67" t="inlineStr">
        <is>
          <t>含税单价</t>
        </is>
      </c>
      <c r="D67" t="inlineStr">
        <is>
          <t>price</t>
        </is>
      </c>
      <c r="E67" t="inlineStr">
        <is>
          <t>是</t>
        </is>
      </c>
    </row>
    <row r="68">
      <c r="A68" t="inlineStr">
        <is>
          <t>采购合同</t>
        </is>
      </c>
      <c r="B68" t="inlineStr">
        <is>
          <t>物料明细</t>
        </is>
      </c>
      <c r="C68" t="inlineStr">
        <is>
          <t>备注</t>
        </is>
      </c>
      <c r="D68" t="inlineStr">
        <is>
          <t>remark</t>
        </is>
      </c>
      <c r="E68" t="inlineStr">
        <is>
          <t>否</t>
        </is>
      </c>
      <c r="G68" t="inlineStr">
        <is>
          <t>明细备注</t>
        </is>
      </c>
    </row>
    <row r="69">
      <c r="A69" t="inlineStr">
        <is>
          <t>采购合同</t>
        </is>
      </c>
      <c r="B69" t="inlineStr">
        <is>
          <t>物料明细</t>
        </is>
      </c>
      <c r="C69" t="inlineStr">
        <is>
          <t>计划单号</t>
        </is>
      </c>
      <c r="D69" t="inlineStr">
        <is>
          <t>plan_no</t>
        </is>
      </c>
      <c r="E69" t="inlineStr">
        <is>
          <t>否</t>
        </is>
      </c>
    </row>
    <row r="70">
      <c r="A70" t="inlineStr">
        <is>
          <t>采购合同</t>
        </is>
      </c>
      <c r="B70" t="inlineStr">
        <is>
          <t>物料明细</t>
        </is>
      </c>
      <c r="C70" t="inlineStr">
        <is>
          <t>使用设备</t>
        </is>
      </c>
      <c r="D70" t="inlineStr">
        <is>
          <t>category</t>
        </is>
      </c>
      <c r="E70" t="inlineStr">
        <is>
          <t>否</t>
        </is>
      </c>
    </row>
    <row r="71">
      <c r="A71" t="inlineStr">
        <is>
          <t>采购合同</t>
        </is>
      </c>
      <c r="B71" t="inlineStr">
        <is>
          <t>阶段付款</t>
        </is>
      </c>
      <c r="C71" t="inlineStr">
        <is>
          <t>合同编号</t>
        </is>
      </c>
      <c r="D71" t="inlineStr">
        <is>
          <t>contract_code</t>
        </is>
      </c>
      <c r="E71" t="inlineStr">
        <is>
          <t>否</t>
        </is>
      </c>
      <c r="G71" t="inlineStr">
        <is>
          <t>对应合同编号</t>
        </is>
      </c>
    </row>
    <row r="72">
      <c r="A72" t="inlineStr">
        <is>
          <t>采购合同</t>
        </is>
      </c>
      <c r="B72" t="inlineStr">
        <is>
          <t>阶段付款</t>
        </is>
      </c>
      <c r="C72" t="inlineStr">
        <is>
          <t>阶段名称</t>
        </is>
      </c>
      <c r="D72" t="inlineStr">
        <is>
          <t>name</t>
        </is>
      </c>
      <c r="E72" t="inlineStr">
        <is>
          <t>是</t>
        </is>
      </c>
    </row>
    <row r="73">
      <c r="A73" t="inlineStr">
        <is>
          <t>采购合同</t>
        </is>
      </c>
      <c r="B73" t="inlineStr">
        <is>
          <t>阶段付款</t>
        </is>
      </c>
      <c r="C73" t="inlineStr">
        <is>
          <t>比例</t>
        </is>
      </c>
      <c r="D73" t="inlineStr">
        <is>
          <t>ratio</t>
        </is>
      </c>
      <c r="E73" t="inlineStr">
        <is>
          <t>否</t>
        </is>
      </c>
    </row>
    <row r="74">
      <c r="A74" t="inlineStr">
        <is>
          <t>采购合同</t>
        </is>
      </c>
      <c r="B74" t="inlineStr">
        <is>
          <t>阶段付款</t>
        </is>
      </c>
      <c r="C74" t="inlineStr">
        <is>
          <t>计划金额</t>
        </is>
      </c>
      <c r="D74" t="inlineStr">
        <is>
          <t>plan_amount</t>
        </is>
      </c>
      <c r="E74" t="inlineStr">
        <is>
          <t>否</t>
        </is>
      </c>
    </row>
    <row r="75">
      <c r="A75" t="inlineStr">
        <is>
          <t>采购合同</t>
        </is>
      </c>
      <c r="B75" t="inlineStr">
        <is>
          <t>阶段付款</t>
        </is>
      </c>
      <c r="C75" t="inlineStr">
        <is>
          <t>计划日期</t>
        </is>
      </c>
      <c r="D75" t="inlineStr">
        <is>
          <t>plan_date</t>
        </is>
      </c>
      <c r="E75" t="inlineStr">
        <is>
          <t>否</t>
        </is>
      </c>
    </row>
    <row r="76">
      <c r="A76" t="inlineStr">
        <is>
          <t>采购合同</t>
        </is>
      </c>
      <c r="B76" t="inlineStr">
        <is>
          <t>阶段付款</t>
        </is>
      </c>
      <c r="C76" t="inlineStr">
        <is>
          <t>备注</t>
        </is>
      </c>
      <c r="D76" t="inlineStr">
        <is>
          <t>remark</t>
        </is>
      </c>
      <c r="E76" t="inlineStr">
        <is>
          <t>否</t>
        </is>
      </c>
      <c r="G76" t="inlineStr">
        <is>
          <t>阶段备注</t>
        </is>
      </c>
    </row>
    <row r="77">
      <c r="A77" t="inlineStr">
        <is>
          <t>采购合同</t>
        </is>
      </c>
      <c r="B77" t="inlineStr">
        <is>
          <t>阶段付款</t>
        </is>
      </c>
      <c r="C77" t="inlineStr">
        <is>
          <t>到货阶段</t>
        </is>
      </c>
      <c r="D77" t="inlineStr">
        <is>
          <t>arrival_flag</t>
        </is>
      </c>
      <c r="E77" t="inlineStr">
        <is>
          <t>否</t>
        </is>
      </c>
    </row>
    <row r="78">
      <c r="A78" t="inlineStr">
        <is>
          <t>销售合同</t>
        </is>
      </c>
      <c r="B78" t="inlineStr">
        <is>
          <t>主表</t>
        </is>
      </c>
      <c r="C78" t="inlineStr">
        <is>
          <t>合同编号</t>
        </is>
      </c>
      <c r="D78" t="inlineStr">
        <is>
          <t>contract_code</t>
        </is>
      </c>
      <c r="E78" t="inlineStr">
        <is>
          <t>是</t>
        </is>
      </c>
    </row>
    <row r="79">
      <c r="A79" t="inlineStr">
        <is>
          <t>销售合同</t>
        </is>
      </c>
      <c r="B79" t="inlineStr">
        <is>
          <t>主表</t>
        </is>
      </c>
      <c r="C79" t="inlineStr">
        <is>
          <t>合同名称</t>
        </is>
      </c>
      <c r="D79" t="inlineStr">
        <is>
          <t>name</t>
        </is>
      </c>
      <c r="E79" t="inlineStr">
        <is>
          <t>否</t>
        </is>
      </c>
    </row>
    <row r="80">
      <c r="A80" t="inlineStr">
        <is>
          <t>销售合同</t>
        </is>
      </c>
      <c r="B80" t="inlineStr">
        <is>
          <t>主表</t>
        </is>
      </c>
      <c r="C80" t="inlineStr">
        <is>
          <t>合同类型</t>
        </is>
      </c>
      <c r="D80" t="inlineStr">
        <is>
          <t>type_name</t>
        </is>
      </c>
      <c r="E80" t="inlineStr">
        <is>
          <t>否</t>
        </is>
      </c>
    </row>
    <row r="81">
      <c r="A81" t="inlineStr">
        <is>
          <t>销售合同</t>
        </is>
      </c>
      <c r="B81" t="inlineStr">
        <is>
          <t>主表</t>
        </is>
      </c>
      <c r="C81" t="inlineStr">
        <is>
          <t>客户</t>
        </is>
      </c>
      <c r="D81" t="inlineStr">
        <is>
          <t>party_name</t>
        </is>
      </c>
      <c r="E81" t="inlineStr">
        <is>
          <t>或</t>
        </is>
      </c>
      <c r="G81" t="inlineStr">
        <is>
          <t>客户名称|对方名称</t>
        </is>
      </c>
    </row>
    <row r="82">
      <c r="A82" t="inlineStr">
        <is>
          <t>销售合同</t>
        </is>
      </c>
      <c r="B82" t="inlineStr">
        <is>
          <t>主表</t>
        </is>
      </c>
      <c r="C82" t="inlineStr">
        <is>
          <t>客户编码</t>
        </is>
      </c>
      <c r="D82" t="inlineStr">
        <is>
          <t>party_code</t>
        </is>
      </c>
      <c r="E82" t="inlineStr">
        <is>
          <t>或</t>
        </is>
      </c>
      <c r="G82" t="inlineStr">
        <is>
          <t>对方编码</t>
        </is>
      </c>
    </row>
    <row r="83">
      <c r="A83" t="inlineStr">
        <is>
          <t>销售合同</t>
        </is>
      </c>
      <c r="B83" t="inlineStr">
        <is>
          <t>主表</t>
        </is>
      </c>
      <c r="C83" t="inlineStr">
        <is>
          <t>业务员</t>
        </is>
      </c>
      <c r="D83" t="inlineStr">
        <is>
          <t>owner_id</t>
        </is>
      </c>
      <c r="E83" t="inlineStr">
        <is>
          <t>否</t>
        </is>
      </c>
      <c r="G83" t="inlineStr">
        <is>
          <t>业务员员工编号</t>
        </is>
      </c>
    </row>
    <row r="84">
      <c r="A84" t="inlineStr">
        <is>
          <t>销售合同</t>
        </is>
      </c>
      <c r="B84" t="inlineStr">
        <is>
          <t>主表</t>
        </is>
      </c>
      <c r="C84" t="inlineStr">
        <is>
          <t>项目编号</t>
        </is>
      </c>
      <c r="D84" t="inlineStr">
        <is>
          <t>project_code</t>
        </is>
      </c>
      <c r="E84" t="inlineStr">
        <is>
          <t>否</t>
        </is>
      </c>
    </row>
    <row r="85">
      <c r="A85" t="inlineStr">
        <is>
          <t>销售合同</t>
        </is>
      </c>
      <c r="B85" t="inlineStr">
        <is>
          <t>主表</t>
        </is>
      </c>
      <c r="C85" t="inlineStr">
        <is>
          <t>合同状态</t>
        </is>
      </c>
      <c r="D85" t="inlineStr">
        <is>
          <t>status</t>
        </is>
      </c>
      <c r="E85" t="inlineStr">
        <is>
          <t>否</t>
        </is>
      </c>
    </row>
    <row r="86">
      <c r="A86" t="inlineStr">
        <is>
          <t>销售合同</t>
        </is>
      </c>
      <c r="B86" t="inlineStr">
        <is>
          <t>主表</t>
        </is>
      </c>
      <c r="C86" t="inlineStr">
        <is>
          <t>计价方式</t>
        </is>
      </c>
      <c r="D86" t="inlineStr">
        <is>
          <t>pricing</t>
        </is>
      </c>
      <c r="E86" t="inlineStr">
        <is>
          <t>否</t>
        </is>
      </c>
    </row>
    <row r="87">
      <c r="A87" t="inlineStr">
        <is>
          <t>销售合同</t>
        </is>
      </c>
      <c r="B87" t="inlineStr">
        <is>
          <t>主表</t>
        </is>
      </c>
      <c r="C87" t="inlineStr">
        <is>
          <t>税率</t>
        </is>
      </c>
      <c r="D87" t="inlineStr">
        <is>
          <t>tax_rate</t>
        </is>
      </c>
      <c r="E87" t="inlineStr">
        <is>
          <t>否</t>
        </is>
      </c>
    </row>
    <row r="88">
      <c r="A88" t="inlineStr">
        <is>
          <t>销售合同</t>
        </is>
      </c>
      <c r="B88" t="inlineStr">
        <is>
          <t>主表</t>
        </is>
      </c>
      <c r="C88" t="inlineStr">
        <is>
          <t>签订日期</t>
        </is>
      </c>
      <c r="D88" t="inlineStr">
        <is>
          <t>sign_date</t>
        </is>
      </c>
      <c r="E88" t="inlineStr">
        <is>
          <t>否</t>
        </is>
      </c>
    </row>
    <row r="89">
      <c r="A89" t="inlineStr">
        <is>
          <t>销售合同</t>
        </is>
      </c>
      <c r="B89" t="inlineStr">
        <is>
          <t>主表</t>
        </is>
      </c>
      <c r="C89" t="inlineStr">
        <is>
          <t>开始日期</t>
        </is>
      </c>
      <c r="D89" t="inlineStr">
        <is>
          <t>start_date</t>
        </is>
      </c>
      <c r="E89" t="inlineStr">
        <is>
          <t>否</t>
        </is>
      </c>
    </row>
    <row r="90">
      <c r="A90" t="inlineStr">
        <is>
          <t>销售合同</t>
        </is>
      </c>
      <c r="B90" t="inlineStr">
        <is>
          <t>主表</t>
        </is>
      </c>
      <c r="C90" t="inlineStr">
        <is>
          <t>结束日期</t>
        </is>
      </c>
      <c r="D90" t="inlineStr">
        <is>
          <t>end_date</t>
        </is>
      </c>
      <c r="E90" t="inlineStr">
        <is>
          <t>否</t>
        </is>
      </c>
    </row>
    <row r="91">
      <c r="A91" t="inlineStr">
        <is>
          <t>销售合同</t>
        </is>
      </c>
      <c r="B91" t="inlineStr">
        <is>
          <t>主表</t>
        </is>
      </c>
      <c r="C91" t="inlineStr">
        <is>
          <t>内容概述</t>
        </is>
      </c>
      <c r="D91" t="inlineStr">
        <is>
          <t>content</t>
        </is>
      </c>
      <c r="E91" t="inlineStr">
        <is>
          <t>否</t>
        </is>
      </c>
    </row>
    <row r="92">
      <c r="A92" t="inlineStr">
        <is>
          <t>销售合同</t>
        </is>
      </c>
      <c r="B92" t="inlineStr">
        <is>
          <t>主表</t>
        </is>
      </c>
      <c r="C92" t="inlineStr">
        <is>
          <t>条款</t>
        </is>
      </c>
      <c r="D92" t="inlineStr">
        <is>
          <t>terms</t>
        </is>
      </c>
      <c r="E92" t="inlineStr">
        <is>
          <t>否</t>
        </is>
      </c>
      <c r="G92" t="inlineStr">
        <is>
          <t>付款条款</t>
        </is>
      </c>
    </row>
    <row r="93">
      <c r="A93" t="inlineStr">
        <is>
          <t>销售合同</t>
        </is>
      </c>
      <c r="B93" t="inlineStr">
        <is>
          <t>主表</t>
        </is>
      </c>
      <c r="C93" t="inlineStr">
        <is>
          <t>备注</t>
        </is>
      </c>
      <c r="D93" t="inlineStr">
        <is>
          <t>remark</t>
        </is>
      </c>
      <c r="E93" t="inlineStr">
        <is>
          <t>否</t>
        </is>
      </c>
    </row>
    <row r="94">
      <c r="A94" t="inlineStr">
        <is>
          <t>销售合同</t>
        </is>
      </c>
      <c r="B94" t="inlineStr">
        <is>
          <t>物料明细</t>
        </is>
      </c>
      <c r="C94" t="inlineStr">
        <is>
          <t>合同编号</t>
        </is>
      </c>
      <c r="D94" t="inlineStr">
        <is>
          <t>contract_code</t>
        </is>
      </c>
      <c r="E94" t="inlineStr">
        <is>
          <t>否</t>
        </is>
      </c>
      <c r="G94" t="inlineStr">
        <is>
          <t>对应合同编号</t>
        </is>
      </c>
    </row>
    <row r="95">
      <c r="A95" t="inlineStr">
        <is>
          <t>销售合同</t>
        </is>
      </c>
      <c r="B95" t="inlineStr">
        <is>
          <t>物料明细</t>
        </is>
      </c>
      <c r="C95" t="inlineStr">
        <is>
          <t>物料编号</t>
        </is>
      </c>
      <c r="D95" t="inlineStr">
        <is>
          <t>material_code</t>
        </is>
      </c>
      <c r="E95" t="inlineStr">
        <is>
          <t>是</t>
        </is>
      </c>
    </row>
    <row r="96">
      <c r="A96" t="inlineStr">
        <is>
          <t>销售合同</t>
        </is>
      </c>
      <c r="B96" t="inlineStr">
        <is>
          <t>物料明细</t>
        </is>
      </c>
      <c r="C96" t="inlineStr">
        <is>
          <t>中文名称</t>
        </is>
      </c>
      <c r="D96" t="inlineStr">
        <is>
          <t>name_cn</t>
        </is>
      </c>
      <c r="E96" t="inlineStr">
        <is>
          <t>否</t>
        </is>
      </c>
    </row>
    <row r="97">
      <c r="A97" t="inlineStr">
        <is>
          <t>销售合同</t>
        </is>
      </c>
      <c r="B97" t="inlineStr">
        <is>
          <t>物料明细</t>
        </is>
      </c>
      <c r="C97" t="inlineStr">
        <is>
          <t>英文名称</t>
        </is>
      </c>
      <c r="D97" t="inlineStr">
        <is>
          <t>name_en</t>
        </is>
      </c>
      <c r="E97" t="inlineStr">
        <is>
          <t>否</t>
        </is>
      </c>
    </row>
    <row r="98">
      <c r="A98" t="inlineStr">
        <is>
          <t>销售合同</t>
        </is>
      </c>
      <c r="B98" t="inlineStr">
        <is>
          <t>物料明细</t>
        </is>
      </c>
      <c r="C98" t="inlineStr">
        <is>
          <t>规格</t>
        </is>
      </c>
      <c r="D98" t="inlineStr">
        <is>
          <t>spec</t>
        </is>
      </c>
      <c r="E98" t="inlineStr">
        <is>
          <t>否</t>
        </is>
      </c>
      <c r="G98" t="inlineStr">
        <is>
          <t>规格型号</t>
        </is>
      </c>
    </row>
    <row r="99">
      <c r="A99" t="inlineStr">
        <is>
          <t>销售合同</t>
        </is>
      </c>
      <c r="B99" t="inlineStr">
        <is>
          <t>物料明细</t>
        </is>
      </c>
      <c r="C99" t="inlineStr">
        <is>
          <t>单位</t>
        </is>
      </c>
      <c r="D99" t="inlineStr">
        <is>
          <t>unit</t>
        </is>
      </c>
      <c r="E99" t="inlineStr">
        <is>
          <t>否</t>
        </is>
      </c>
    </row>
    <row r="100">
      <c r="A100" t="inlineStr">
        <is>
          <t>销售合同</t>
        </is>
      </c>
      <c r="B100" t="inlineStr">
        <is>
          <t>物料明细</t>
        </is>
      </c>
      <c r="C100" t="inlineStr">
        <is>
          <t>数量</t>
        </is>
      </c>
      <c r="D100" t="inlineStr">
        <is>
          <t>qty</t>
        </is>
      </c>
      <c r="E100" t="inlineStr">
        <is>
          <t>是</t>
        </is>
      </c>
    </row>
    <row r="101">
      <c r="A101" t="inlineStr">
        <is>
          <t>销售合同</t>
        </is>
      </c>
      <c r="B101" t="inlineStr">
        <is>
          <t>物料明细</t>
        </is>
      </c>
      <c r="C101" t="inlineStr">
        <is>
          <t>含税单价</t>
        </is>
      </c>
      <c r="D101" t="inlineStr">
        <is>
          <t>price</t>
        </is>
      </c>
      <c r="E101" t="inlineStr">
        <is>
          <t>是</t>
        </is>
      </c>
    </row>
    <row r="102">
      <c r="A102" t="inlineStr">
        <is>
          <t>销售合同</t>
        </is>
      </c>
      <c r="B102" t="inlineStr">
        <is>
          <t>物料明细</t>
        </is>
      </c>
      <c r="C102" t="inlineStr">
        <is>
          <t>备注</t>
        </is>
      </c>
      <c r="D102" t="inlineStr">
        <is>
          <t>remark</t>
        </is>
      </c>
      <c r="E102" t="inlineStr">
        <is>
          <t>否</t>
        </is>
      </c>
      <c r="G102" t="inlineStr">
        <is>
          <t>明细备注</t>
        </is>
      </c>
    </row>
    <row r="103">
      <c r="A103" t="inlineStr">
        <is>
          <t>销售合同</t>
        </is>
      </c>
      <c r="B103" t="inlineStr">
        <is>
          <t>阶段付款</t>
        </is>
      </c>
      <c r="C103" t="inlineStr">
        <is>
          <t>合同编号</t>
        </is>
      </c>
      <c r="D103" t="inlineStr">
        <is>
          <t>contract_code</t>
        </is>
      </c>
      <c r="E103" t="inlineStr">
        <is>
          <t>否</t>
        </is>
      </c>
      <c r="G103" t="inlineStr">
        <is>
          <t>对应合同编号</t>
        </is>
      </c>
    </row>
    <row r="104">
      <c r="A104" t="inlineStr">
        <is>
          <t>销售合同</t>
        </is>
      </c>
      <c r="B104" t="inlineStr">
        <is>
          <t>阶段付款</t>
        </is>
      </c>
      <c r="C104" t="inlineStr">
        <is>
          <t>阶段名称</t>
        </is>
      </c>
      <c r="D104" t="inlineStr">
        <is>
          <t>name</t>
        </is>
      </c>
      <c r="E104" t="inlineStr">
        <is>
          <t>是</t>
        </is>
      </c>
    </row>
    <row r="105">
      <c r="A105" t="inlineStr">
        <is>
          <t>销售合同</t>
        </is>
      </c>
      <c r="B105" t="inlineStr">
        <is>
          <t>阶段付款</t>
        </is>
      </c>
      <c r="C105" t="inlineStr">
        <is>
          <t>比例</t>
        </is>
      </c>
      <c r="D105" t="inlineStr">
        <is>
          <t>ratio</t>
        </is>
      </c>
      <c r="E105" t="inlineStr">
        <is>
          <t>否</t>
        </is>
      </c>
    </row>
    <row r="106">
      <c r="A106" t="inlineStr">
        <is>
          <t>销售合同</t>
        </is>
      </c>
      <c r="B106" t="inlineStr">
        <is>
          <t>阶段付款</t>
        </is>
      </c>
      <c r="C106" t="inlineStr">
        <is>
          <t>计划金额</t>
        </is>
      </c>
      <c r="D106" t="inlineStr">
        <is>
          <t>plan_amount</t>
        </is>
      </c>
      <c r="E106" t="inlineStr">
        <is>
          <t>否</t>
        </is>
      </c>
    </row>
    <row r="107">
      <c r="A107" t="inlineStr">
        <is>
          <t>销售合同</t>
        </is>
      </c>
      <c r="B107" t="inlineStr">
        <is>
          <t>阶段付款</t>
        </is>
      </c>
      <c r="C107" t="inlineStr">
        <is>
          <t>计划日期</t>
        </is>
      </c>
      <c r="D107" t="inlineStr">
        <is>
          <t>plan_date</t>
        </is>
      </c>
      <c r="E107" t="inlineStr">
        <is>
          <t>否</t>
        </is>
      </c>
    </row>
    <row r="108">
      <c r="A108" t="inlineStr">
        <is>
          <t>销售合同</t>
        </is>
      </c>
      <c r="B108" t="inlineStr">
        <is>
          <t>阶段付款</t>
        </is>
      </c>
      <c r="C108" t="inlineStr">
        <is>
          <t>备注</t>
        </is>
      </c>
      <c r="D108" t="inlineStr">
        <is>
          <t>remark</t>
        </is>
      </c>
      <c r="E108" t="inlineStr">
        <is>
          <t>否</t>
        </is>
      </c>
      <c r="G108" t="inlineStr">
        <is>
          <t>阶段备注</t>
        </is>
      </c>
    </row>
    <row r="109">
      <c r="A109" t="inlineStr">
        <is>
          <t>销售合同</t>
        </is>
      </c>
      <c r="B109" t="inlineStr">
        <is>
          <t>阶段付款</t>
        </is>
      </c>
      <c r="C109" t="inlineStr">
        <is>
          <t>发货阶段</t>
        </is>
      </c>
      <c r="D109" t="inlineStr">
        <is>
          <t>ship_flag</t>
        </is>
      </c>
      <c r="E109" t="inlineStr">
        <is>
          <t>否</t>
        </is>
      </c>
    </row>
    <row r="110">
      <c r="A110" t="inlineStr">
        <is>
          <t>报关物料清单</t>
        </is>
      </c>
      <c r="B110" t="inlineStr">
        <is>
          <t>物料明细</t>
        </is>
      </c>
      <c r="C110" t="inlineStr">
        <is>
          <t>物料编号</t>
        </is>
      </c>
      <c r="D110" t="inlineStr">
        <is>
          <t>material_code</t>
        </is>
      </c>
      <c r="E110" t="inlineStr">
        <is>
          <t>是</t>
        </is>
      </c>
    </row>
    <row r="111">
      <c r="A111" t="inlineStr">
        <is>
          <t>报关物料清单</t>
        </is>
      </c>
      <c r="B111" t="inlineStr">
        <is>
          <t>物料明细</t>
        </is>
      </c>
      <c r="C111" t="inlineStr">
        <is>
          <t>入库单号</t>
        </is>
      </c>
      <c r="D111" t="inlineStr">
        <is>
          <t>receipt_no</t>
        </is>
      </c>
      <c r="E111" t="inlineStr">
        <is>
          <t>否</t>
        </is>
      </c>
      <c r="G111" t="inlineStr">
        <is>
          <t>入仓单号</t>
        </is>
      </c>
    </row>
    <row r="112">
      <c r="A112" t="inlineStr">
        <is>
          <t>报关物料清单</t>
        </is>
      </c>
      <c r="B112" t="inlineStr">
        <is>
          <t>物料明细</t>
        </is>
      </c>
      <c r="C112" t="inlineStr">
        <is>
          <t>物料名称</t>
        </is>
      </c>
      <c r="D112" t="inlineStr">
        <is>
          <t>material_name</t>
        </is>
      </c>
      <c r="E112" t="inlineStr">
        <is>
          <t>否</t>
        </is>
      </c>
      <c r="F112" t="inlineStr">
        <is>
          <t>只读</t>
        </is>
      </c>
      <c r="G112" t="inlineStr">
        <is>
          <t>中文名称</t>
        </is>
      </c>
    </row>
    <row r="113">
      <c r="A113" t="inlineStr">
        <is>
          <t>报关物料清单</t>
        </is>
      </c>
      <c r="B113" t="inlineStr">
        <is>
          <t>物料明细</t>
        </is>
      </c>
      <c r="C113" t="inlineStr">
        <is>
          <t>英文名称</t>
        </is>
      </c>
      <c r="D113" t="inlineStr">
        <is>
          <t>material_name_en</t>
        </is>
      </c>
      <c r="E113" t="inlineStr">
        <is>
          <t>否</t>
        </is>
      </c>
      <c r="F113" t="inlineStr">
        <is>
          <t>只读</t>
        </is>
      </c>
    </row>
    <row r="114">
      <c r="A114" t="inlineStr">
        <is>
          <t>报关物料清单</t>
        </is>
      </c>
      <c r="B114" t="inlineStr">
        <is>
          <t>物料明细</t>
        </is>
      </c>
      <c r="C114" t="inlineStr">
        <is>
          <t>规格</t>
        </is>
      </c>
      <c r="D114" t="inlineStr">
        <is>
          <t>specification</t>
        </is>
      </c>
      <c r="E114" t="inlineStr">
        <is>
          <t>否</t>
        </is>
      </c>
      <c r="F114" t="inlineStr">
        <is>
          <t>只读</t>
        </is>
      </c>
    </row>
    <row r="115">
      <c r="A115" t="inlineStr">
        <is>
          <t>报关物料清单</t>
        </is>
      </c>
      <c r="B115" t="inlineStr">
        <is>
          <t>物料明细</t>
        </is>
      </c>
      <c r="C115" t="inlineStr">
        <is>
          <t>单位</t>
        </is>
      </c>
      <c r="D115" t="inlineStr">
        <is>
          <t>unit</t>
        </is>
      </c>
      <c r="E115" t="inlineStr">
        <is>
          <t>否</t>
        </is>
      </c>
      <c r="F115" t="inlineStr">
        <is>
          <t>只读</t>
        </is>
      </c>
    </row>
    <row r="116">
      <c r="A116" t="inlineStr">
        <is>
          <t>报关物料清单</t>
        </is>
      </c>
      <c r="B116" t="inlineStr">
        <is>
          <t>物料明细</t>
        </is>
      </c>
      <c r="C116" t="inlineStr">
        <is>
          <t>数量</t>
        </is>
      </c>
      <c r="D116" t="inlineStr">
        <is>
          <t>quantity</t>
        </is>
      </c>
      <c r="E116" t="inlineStr">
        <is>
          <t>否</t>
        </is>
      </c>
      <c r="F116" t="inlineStr">
        <is>
          <t>只读</t>
        </is>
      </c>
    </row>
    <row r="117">
      <c r="A117" t="inlineStr">
        <is>
          <t>报关物料清单</t>
        </is>
      </c>
      <c r="B117" t="inlineStr">
        <is>
          <t>物料明细</t>
        </is>
      </c>
      <c r="C117" t="inlineStr">
        <is>
          <t>合同号</t>
        </is>
      </c>
      <c r="D117" t="inlineStr">
        <is>
          <t>contract_no</t>
        </is>
      </c>
      <c r="E117" t="inlineStr">
        <is>
          <t>否</t>
        </is>
      </c>
      <c r="F117" t="inlineStr">
        <is>
          <t>只读</t>
        </is>
      </c>
    </row>
    <row r="118">
      <c r="A118" t="inlineStr">
        <is>
          <t>报关物料清单</t>
        </is>
      </c>
      <c r="B118" t="inlineStr">
        <is>
          <t>物料明细</t>
        </is>
      </c>
      <c r="C118" t="inlineStr">
        <is>
          <t>供应商</t>
        </is>
      </c>
      <c r="D118" t="inlineStr">
        <is>
          <t>supplier_name</t>
        </is>
      </c>
      <c r="E118" t="inlineStr">
        <is>
          <t>否</t>
        </is>
      </c>
      <c r="F118" t="inlineStr">
        <is>
          <t>只读</t>
        </is>
      </c>
    </row>
    <row r="119">
      <c r="A119" t="inlineStr">
        <is>
          <t>报关物料清单</t>
        </is>
      </c>
      <c r="B119" t="inlineStr">
        <is>
          <t>物料明细</t>
        </is>
      </c>
      <c r="C119" t="inlineStr">
        <is>
          <t>入仓日期</t>
        </is>
      </c>
      <c r="D119" t="inlineStr">
        <is>
          <t>receipt_date</t>
        </is>
      </c>
      <c r="E119" t="inlineStr">
        <is>
          <t>否</t>
        </is>
      </c>
      <c r="F119" t="inlineStr">
        <is>
          <t>只读</t>
        </is>
      </c>
    </row>
    <row r="120">
      <c r="A120" t="inlineStr">
        <is>
          <t>报关物料清单</t>
        </is>
      </c>
      <c r="B120" t="inlineStr">
        <is>
          <t>物料明细</t>
        </is>
      </c>
      <c r="C120" t="inlineStr">
        <is>
          <t>含税单价</t>
        </is>
      </c>
      <c r="D120" t="inlineStr">
        <is>
          <t>price</t>
        </is>
      </c>
      <c r="E120" t="inlineStr">
        <is>
          <t>否</t>
        </is>
      </c>
      <c r="F120" t="inlineStr">
        <is>
          <t>只读</t>
        </is>
      </c>
    </row>
    <row r="121">
      <c r="A121" t="inlineStr">
        <is>
          <t>报关物料清单</t>
        </is>
      </c>
      <c r="B121" t="inlineStr">
        <is>
          <t>物料明细</t>
        </is>
      </c>
      <c r="C121" t="inlineStr">
        <is>
          <t>产地</t>
        </is>
      </c>
      <c r="D121" t="inlineStr">
        <is>
          <t>origin_country</t>
        </is>
      </c>
      <c r="E121" t="inlineStr">
        <is>
          <t>否</t>
        </is>
      </c>
    </row>
    <row r="122">
      <c r="A122" t="inlineStr">
        <is>
          <t>报关物料清单</t>
        </is>
      </c>
      <c r="B122" t="inlineStr">
        <is>
          <t>物料明细</t>
        </is>
      </c>
      <c r="C122" t="inlineStr">
        <is>
          <t>箱号</t>
        </is>
      </c>
      <c r="D122" t="inlineStr">
        <is>
          <t>box_no</t>
        </is>
      </c>
      <c r="E122" t="inlineStr">
        <is>
          <t>否</t>
        </is>
      </c>
    </row>
    <row r="123">
      <c r="A123" t="inlineStr">
        <is>
          <t>报关物料清单</t>
        </is>
      </c>
      <c r="B123" t="inlineStr">
        <is>
          <t>物料明细</t>
        </is>
      </c>
      <c r="C123" t="inlineStr">
        <is>
          <t>尺寸</t>
        </is>
      </c>
      <c r="D123" t="inlineStr">
        <is>
          <t>size</t>
        </is>
      </c>
      <c r="E123" t="inlineStr">
        <is>
          <t>否</t>
        </is>
      </c>
    </row>
    <row r="124">
      <c r="A124" t="inlineStr">
        <is>
          <t>报关物料清单</t>
        </is>
      </c>
      <c r="B124" t="inlineStr">
        <is>
          <t>物料明细</t>
        </is>
      </c>
      <c r="C124" t="inlineStr">
        <is>
          <t>长</t>
        </is>
      </c>
      <c r="D124" t="inlineStr">
        <is>
          <t>length</t>
        </is>
      </c>
      <c r="E124" t="inlineStr">
        <is>
          <t>否</t>
        </is>
      </c>
    </row>
    <row r="125">
      <c r="A125" t="inlineStr">
        <is>
          <t>报关物料清单</t>
        </is>
      </c>
      <c r="B125" t="inlineStr">
        <is>
          <t>物料明细</t>
        </is>
      </c>
      <c r="C125" t="inlineStr">
        <is>
          <t>宽</t>
        </is>
      </c>
      <c r="D125" t="inlineStr">
        <is>
          <t>width</t>
        </is>
      </c>
      <c r="E125" t="inlineStr">
        <is>
          <t>否</t>
        </is>
      </c>
    </row>
    <row r="126">
      <c r="A126" t="inlineStr">
        <is>
          <t>报关物料清单</t>
        </is>
      </c>
      <c r="B126" t="inlineStr">
        <is>
          <t>物料明细</t>
        </is>
      </c>
      <c r="C126" t="inlineStr">
        <is>
          <t>高</t>
        </is>
      </c>
      <c r="D126" t="inlineStr">
        <is>
          <t>height</t>
        </is>
      </c>
      <c r="E126" t="inlineStr">
        <is>
          <t>否</t>
        </is>
      </c>
    </row>
    <row r="127">
      <c r="A127" t="inlineStr">
        <is>
          <t>报关物料清单</t>
        </is>
      </c>
      <c r="B127" t="inlineStr">
        <is>
          <t>物料明细</t>
        </is>
      </c>
      <c r="C127" t="inlineStr">
        <is>
          <t>净重</t>
        </is>
      </c>
      <c r="D127" t="inlineStr">
        <is>
          <t>net_weight</t>
        </is>
      </c>
      <c r="E127" t="inlineStr">
        <is>
          <t>否</t>
        </is>
      </c>
    </row>
    <row r="128">
      <c r="A128" t="inlineStr">
        <is>
          <t>报关物料清单</t>
        </is>
      </c>
      <c r="B128" t="inlineStr">
        <is>
          <t>物料明细</t>
        </is>
      </c>
      <c r="C128" t="inlineStr">
        <is>
          <t>毛重</t>
        </is>
      </c>
      <c r="D128" t="inlineStr">
        <is>
          <t>gross_weight</t>
        </is>
      </c>
      <c r="E128" t="inlineStr">
        <is>
          <t>否</t>
        </is>
      </c>
    </row>
    <row r="129">
      <c r="A129" t="inlineStr">
        <is>
          <t>报关物料清单</t>
        </is>
      </c>
      <c r="B129" t="inlineStr">
        <is>
          <t>物料明细</t>
        </is>
      </c>
      <c r="C129" t="inlineStr">
        <is>
          <t>体积</t>
        </is>
      </c>
      <c r="D129" t="inlineStr">
        <is>
          <t>volume</t>
        </is>
      </c>
      <c r="E129" t="inlineStr">
        <is>
          <t>否</t>
        </is>
      </c>
    </row>
    <row r="130">
      <c r="A130" t="inlineStr">
        <is>
          <t>报关物料清单</t>
        </is>
      </c>
      <c r="B130" t="inlineStr">
        <is>
          <t>物料明细</t>
        </is>
      </c>
      <c r="C130" t="inlineStr">
        <is>
          <t>出发港</t>
        </is>
      </c>
      <c r="D130" t="inlineStr">
        <is>
          <t>port_of_shipment</t>
        </is>
      </c>
      <c r="E130" t="inlineStr">
        <is>
          <t>否</t>
        </is>
      </c>
      <c r="G130" t="inlineStr">
        <is>
          <t>出发港口</t>
        </is>
      </c>
    </row>
    <row r="131">
      <c r="A131" t="inlineStr">
        <is>
          <t>报关物料清单</t>
        </is>
      </c>
      <c r="B131" t="inlineStr">
        <is>
          <t>物料明细</t>
        </is>
      </c>
      <c r="C131" t="inlineStr">
        <is>
          <t>目的港</t>
        </is>
      </c>
      <c r="D131" t="inlineStr">
        <is>
          <t>port_of_destination</t>
        </is>
      </c>
      <c r="E131" t="inlineStr">
        <is>
          <t>否</t>
        </is>
      </c>
    </row>
    <row r="132">
      <c r="A132" t="inlineStr">
        <is>
          <t>报关物料清单</t>
        </is>
      </c>
      <c r="B132" t="inlineStr">
        <is>
          <t>物料明细</t>
        </is>
      </c>
      <c r="C132" t="inlineStr">
        <is>
          <t>集装箱号</t>
        </is>
      </c>
      <c r="D132" t="inlineStr">
        <is>
          <t>container_no</t>
        </is>
      </c>
      <c r="E132" t="inlineStr">
        <is>
          <t>否</t>
        </is>
      </c>
    </row>
    <row r="133">
      <c r="A133" t="inlineStr">
        <is>
          <t>报关物料清单</t>
        </is>
      </c>
      <c r="B133" t="inlineStr">
        <is>
          <t>物料明细</t>
        </is>
      </c>
      <c r="C133" t="inlineStr">
        <is>
          <t>提单号</t>
        </is>
      </c>
      <c r="D133" t="inlineStr">
        <is>
          <t>bill_no</t>
        </is>
      </c>
      <c r="E133" t="inlineStr">
        <is>
          <t>否</t>
        </is>
      </c>
    </row>
    <row r="134">
      <c r="A134" t="inlineStr">
        <is>
          <t>报关物料清单</t>
        </is>
      </c>
      <c r="B134" t="inlineStr">
        <is>
          <t>物料明细</t>
        </is>
      </c>
      <c r="C134" t="inlineStr">
        <is>
          <t>船名/航号</t>
        </is>
      </c>
      <c r="D134" t="inlineStr">
        <is>
          <t>vessel_voyage</t>
        </is>
      </c>
      <c r="E134" t="inlineStr">
        <is>
          <t>否</t>
        </is>
      </c>
    </row>
    <row r="135">
      <c r="A135" t="inlineStr">
        <is>
          <t>报关物料清单</t>
        </is>
      </c>
      <c r="B135" t="inlineStr">
        <is>
          <t>物料明细</t>
        </is>
      </c>
      <c r="C135" t="inlineStr">
        <is>
          <t>箱单号</t>
        </is>
      </c>
      <c r="D135" t="inlineStr">
        <is>
          <t>packing_list_no</t>
        </is>
      </c>
      <c r="E135" t="inlineStr">
        <is>
          <t>否</t>
        </is>
      </c>
    </row>
    <row r="136">
      <c r="A136" t="inlineStr">
        <is>
          <t>报关物料清单</t>
        </is>
      </c>
      <c r="B136" t="inlineStr">
        <is>
          <t>物料明细</t>
        </is>
      </c>
      <c r="C136" t="inlineStr">
        <is>
          <t>物料大类</t>
        </is>
      </c>
      <c r="D136" t="inlineStr">
        <is>
          <t>material_category</t>
        </is>
      </c>
      <c r="E136" t="inlineStr">
        <is>
          <t>否</t>
        </is>
      </c>
    </row>
    <row r="137">
      <c r="A137" t="inlineStr">
        <is>
          <t>报关物料清单</t>
        </is>
      </c>
      <c r="B137" t="inlineStr">
        <is>
          <t>物料明细</t>
        </is>
      </c>
      <c r="C137" t="inlineStr">
        <is>
          <t>使用设备</t>
        </is>
      </c>
      <c r="D137" t="inlineStr">
        <is>
          <t>equipment</t>
        </is>
      </c>
      <c r="E137" t="inlineStr">
        <is>
          <t>否</t>
        </is>
      </c>
    </row>
    <row r="138">
      <c r="A138" t="inlineStr">
        <is>
          <t>报关物料清单</t>
        </is>
      </c>
      <c r="B138" t="inlineStr">
        <is>
          <t>物料明细</t>
        </is>
      </c>
      <c r="C138" t="inlineStr">
        <is>
          <t>HS Code</t>
        </is>
      </c>
      <c r="D138" t="inlineStr">
        <is>
          <t>hs_code</t>
        </is>
      </c>
      <c r="E138" t="inlineStr">
        <is>
          <t>否</t>
        </is>
      </c>
      <c r="G138" t="inlineStr">
        <is>
          <t>HSCODE</t>
        </is>
      </c>
    </row>
    <row r="139">
      <c r="A139" t="inlineStr">
        <is>
          <t>报关物料清单</t>
        </is>
      </c>
      <c r="B139" t="inlineStr">
        <is>
          <t>物料明细</t>
        </is>
      </c>
      <c r="C139" t="inlineStr">
        <is>
          <t>收货人</t>
        </is>
      </c>
      <c r="D139" t="inlineStr">
        <is>
          <t>consignee</t>
        </is>
      </c>
      <c r="E139" t="inlineStr">
        <is>
          <t>否</t>
        </is>
      </c>
    </row>
    <row r="140">
      <c r="A140" t="inlineStr">
        <is>
          <t>报关物料清单</t>
        </is>
      </c>
      <c r="B140" t="inlineStr">
        <is>
          <t>物料明细</t>
        </is>
      </c>
      <c r="C140" t="inlineStr">
        <is>
          <t>包件件数</t>
        </is>
      </c>
      <c r="D140" t="inlineStr">
        <is>
          <t>package_count</t>
        </is>
      </c>
      <c r="E140" t="inlineStr">
        <is>
          <t>否</t>
        </is>
      </c>
    </row>
    <row r="141">
      <c r="A141" t="inlineStr">
        <is>
          <t>报关物料清单</t>
        </is>
      </c>
      <c r="B141" t="inlineStr">
        <is>
          <t>物料明细</t>
        </is>
      </c>
      <c r="C141" t="inlineStr">
        <is>
          <t>付款条款</t>
        </is>
      </c>
      <c r="D141" t="inlineStr">
        <is>
          <t>payment_terms</t>
        </is>
      </c>
      <c r="E141" t="inlineStr">
        <is>
          <t>否</t>
        </is>
      </c>
    </row>
    <row r="142">
      <c r="A142" t="inlineStr">
        <is>
          <t>报关物料清单</t>
        </is>
      </c>
      <c r="B142" t="inlineStr">
        <is>
          <t>物料明细</t>
        </is>
      </c>
      <c r="C142" t="inlineStr">
        <is>
          <t>申报要素</t>
        </is>
      </c>
      <c r="D142" t="inlineStr">
        <is>
          <t>declaration_elements</t>
        </is>
      </c>
      <c r="E142" t="inlineStr">
        <is>
          <t>否</t>
        </is>
      </c>
    </row>
    <row r="143">
      <c r="A143" t="inlineStr">
        <is>
          <t>报关物料清单</t>
        </is>
      </c>
      <c r="B143" t="inlineStr">
        <is>
          <t>物料明细</t>
        </is>
      </c>
      <c r="C143" t="inlineStr">
        <is>
          <t>备注</t>
        </is>
      </c>
      <c r="D143" t="inlineStr">
        <is>
          <t>remark</t>
        </is>
      </c>
      <c r="E143" t="inlineStr">
        <is>
          <t>否</t>
        </is>
      </c>
    </row>
    <row r="144">
      <c r="A144" t="inlineStr">
        <is>
          <t>HSCode库</t>
        </is>
      </c>
      <c r="B144" t="inlineStr">
        <is>
          <t>明细</t>
        </is>
      </c>
      <c r="C144" t="inlineStr">
        <is>
          <t>HS Code</t>
        </is>
      </c>
      <c r="D144" t="inlineStr">
        <is>
          <t>HS Code</t>
        </is>
      </c>
      <c r="E144" t="inlineStr">
        <is>
          <t>是</t>
        </is>
      </c>
      <c r="G144" t="inlineStr">
        <is>
          <t>HSCODE</t>
        </is>
      </c>
    </row>
    <row r="145">
      <c r="A145" t="inlineStr">
        <is>
          <t>HSCode库</t>
        </is>
      </c>
      <c r="B145" t="inlineStr">
        <is>
          <t>明细</t>
        </is>
      </c>
      <c r="C145" t="inlineStr">
        <is>
          <t>申报名称</t>
        </is>
      </c>
      <c r="D145" t="inlineStr">
        <is>
          <t>申报名称</t>
        </is>
      </c>
      <c r="E145" t="inlineStr">
        <is>
          <t>是</t>
        </is>
      </c>
    </row>
    <row r="146">
      <c r="A146" t="inlineStr">
        <is>
          <t>HSCode库</t>
        </is>
      </c>
      <c r="B146" t="inlineStr">
        <is>
          <t>明细</t>
        </is>
      </c>
      <c r="C146" t="inlineStr">
        <is>
          <t>产品名称</t>
        </is>
      </c>
      <c r="D146" t="inlineStr">
        <is>
          <t>产品名称</t>
        </is>
      </c>
      <c r="E146" t="inlineStr">
        <is>
          <t>否</t>
        </is>
      </c>
    </row>
    <row r="147">
      <c r="A147" t="inlineStr">
        <is>
          <t>HSCode库</t>
        </is>
      </c>
      <c r="B147" t="inlineStr">
        <is>
          <t>明细</t>
        </is>
      </c>
      <c r="C147" t="inlineStr">
        <is>
          <t>申报规格</t>
        </is>
      </c>
      <c r="D147" t="inlineStr">
        <is>
          <t>申报规格</t>
        </is>
      </c>
      <c r="E147" t="inlineStr">
        <is>
          <t>否</t>
        </is>
      </c>
    </row>
    <row r="148">
      <c r="A148" t="inlineStr">
        <is>
          <t>HSCode库</t>
        </is>
      </c>
      <c r="B148" t="inlineStr">
        <is>
          <t>明细</t>
        </is>
      </c>
      <c r="C148" t="inlineStr">
        <is>
          <t>报关要素</t>
        </is>
      </c>
      <c r="D148" t="inlineStr">
        <is>
          <t>报关要素</t>
        </is>
      </c>
      <c r="E148" t="inlineStr">
        <is>
          <t>否</t>
        </is>
      </c>
    </row>
    <row r="149">
      <c r="A149" t="inlineStr">
        <is>
          <t>HSCode库</t>
        </is>
      </c>
      <c r="B149" t="inlineStr">
        <is>
          <t>明细</t>
        </is>
      </c>
      <c r="C149" t="inlineStr">
        <is>
          <t>描述</t>
        </is>
      </c>
      <c r="D149" t="inlineStr">
        <is>
          <t>描述</t>
        </is>
      </c>
      <c r="E149" t="inlineStr">
        <is>
          <t>否</t>
        </is>
      </c>
    </row>
    <row r="150">
      <c r="A150" t="inlineStr">
        <is>
          <t>HSCode库</t>
        </is>
      </c>
      <c r="B150" t="inlineStr">
        <is>
          <t>明细</t>
        </is>
      </c>
      <c r="C150" t="inlineStr">
        <is>
          <t>状态</t>
        </is>
      </c>
      <c r="D150" t="inlineStr">
        <is>
          <t>状态</t>
        </is>
      </c>
      <c r="E150" t="inlineStr">
        <is>
          <t>否</t>
        </is>
      </c>
    </row>
    <row r="151">
      <c r="A151" t="inlineStr">
        <is>
          <t>汇率库</t>
        </is>
      </c>
      <c r="B151" t="inlineStr">
        <is>
          <t>明细</t>
        </is>
      </c>
      <c r="C151" t="inlineStr">
        <is>
          <t>年</t>
        </is>
      </c>
      <c r="D151" t="inlineStr">
        <is>
          <t>year</t>
        </is>
      </c>
      <c r="E151" t="inlineStr">
        <is>
          <t>是</t>
        </is>
      </c>
      <c r="G151" t="inlineStr">
        <is>
          <t>年度</t>
        </is>
      </c>
    </row>
    <row r="152">
      <c r="A152" t="inlineStr">
        <is>
          <t>汇率库</t>
        </is>
      </c>
      <c r="B152" t="inlineStr">
        <is>
          <t>明细</t>
        </is>
      </c>
      <c r="C152" t="inlineStr">
        <is>
          <t>月</t>
        </is>
      </c>
      <c r="D152" t="inlineStr">
        <is>
          <t>month</t>
        </is>
      </c>
      <c r="E152" t="inlineStr">
        <is>
          <t>是</t>
        </is>
      </c>
      <c r="G152" t="inlineStr">
        <is>
          <t>月份</t>
        </is>
      </c>
    </row>
    <row r="153">
      <c r="A153" t="inlineStr">
        <is>
          <t>汇率库</t>
        </is>
      </c>
      <c r="B153" t="inlineStr">
        <is>
          <t>明细</t>
        </is>
      </c>
      <c r="C153" t="inlineStr">
        <is>
          <t>币种</t>
        </is>
      </c>
      <c r="D153" t="inlineStr">
        <is>
          <t>currency</t>
        </is>
      </c>
      <c r="E153" t="inlineStr">
        <is>
          <t>否</t>
        </is>
      </c>
    </row>
    <row r="154">
      <c r="A154" t="inlineStr">
        <is>
          <t>汇率库</t>
        </is>
      </c>
      <c r="B154" t="inlineStr">
        <is>
          <t>明细</t>
        </is>
      </c>
      <c r="C154" t="inlineStr">
        <is>
          <t>汇率</t>
        </is>
      </c>
      <c r="D154" t="inlineStr">
        <is>
          <t>rate</t>
        </is>
      </c>
      <c r="E154" t="inlineStr">
        <is>
          <t>是</t>
        </is>
      </c>
    </row>
    <row r="155">
      <c r="A155" t="inlineStr">
        <is>
          <t>汇率库</t>
        </is>
      </c>
      <c r="B155" t="inlineStr">
        <is>
          <t>明细</t>
        </is>
      </c>
      <c r="C155" t="inlineStr">
        <is>
          <t>生效日期</t>
        </is>
      </c>
      <c r="D155" t="inlineStr">
        <is>
          <t>effective_date</t>
        </is>
      </c>
      <c r="E155" t="inlineStr">
        <is>
          <t>否</t>
        </is>
      </c>
    </row>
    <row r="156">
      <c r="A156" t="inlineStr">
        <is>
          <t>公司管理</t>
        </is>
      </c>
      <c r="B156" t="inlineStr">
        <is>
          <t>明细</t>
        </is>
      </c>
      <c r="C156" t="inlineStr">
        <is>
          <t>编号</t>
        </is>
      </c>
      <c r="D156" t="inlineStr">
        <is>
          <t>code</t>
        </is>
      </c>
      <c r="E156" t="inlineStr">
        <is>
          <t>否</t>
        </is>
      </c>
      <c r="G156" t="inlineStr">
        <is>
          <t>公司编号</t>
        </is>
      </c>
    </row>
    <row r="157">
      <c r="A157" t="inlineStr">
        <is>
          <t>公司管理</t>
        </is>
      </c>
      <c r="B157" t="inlineStr">
        <is>
          <t>明细</t>
        </is>
      </c>
      <c r="C157" t="inlineStr">
        <is>
          <t>公司名称</t>
        </is>
      </c>
      <c r="D157" t="inlineStr">
        <is>
          <t>name</t>
        </is>
      </c>
      <c r="E157" t="inlineStr">
        <is>
          <t>是</t>
        </is>
      </c>
    </row>
    <row r="158">
      <c r="A158" t="inlineStr">
        <is>
          <t>公司管理</t>
        </is>
      </c>
      <c r="B158" t="inlineStr">
        <is>
          <t>明细</t>
        </is>
      </c>
      <c r="C158" t="inlineStr">
        <is>
          <t>简称</t>
        </is>
      </c>
      <c r="D158" t="inlineStr">
        <is>
          <t>short_name</t>
        </is>
      </c>
      <c r="E158" t="inlineStr">
        <is>
          <t>否</t>
        </is>
      </c>
    </row>
    <row r="159">
      <c r="A159" t="inlineStr">
        <is>
          <t>公司管理</t>
        </is>
      </c>
      <c r="B159" t="inlineStr">
        <is>
          <t>明细</t>
        </is>
      </c>
      <c r="C159" t="inlineStr">
        <is>
          <t>状态</t>
        </is>
      </c>
      <c r="D159" t="inlineStr">
        <is>
          <t>status</t>
        </is>
      </c>
      <c r="E159" t="inlineStr">
        <is>
          <t>否</t>
        </is>
      </c>
    </row>
    <row r="160">
      <c r="A160" t="inlineStr">
        <is>
          <t>公司管理</t>
        </is>
      </c>
      <c r="B160" t="inlineStr">
        <is>
          <t>明细</t>
        </is>
      </c>
      <c r="C160" t="inlineStr">
        <is>
          <t>默认税率</t>
        </is>
      </c>
      <c r="D160" t="inlineStr">
        <is>
          <t>default_tax_rate</t>
        </is>
      </c>
      <c r="E160" t="inlineStr">
        <is>
          <t>否</t>
        </is>
      </c>
    </row>
    <row r="161">
      <c r="A161" t="inlineStr">
        <is>
          <t>公司管理</t>
        </is>
      </c>
      <c r="B161" t="inlineStr">
        <is>
          <t>明细</t>
        </is>
      </c>
      <c r="C161" t="inlineStr">
        <is>
          <t>业务员</t>
        </is>
      </c>
      <c r="D161" t="inlineStr">
        <is>
          <t>salesman_id</t>
        </is>
      </c>
      <c r="E161" t="inlineStr">
        <is>
          <t>否</t>
        </is>
      </c>
    </row>
    <row r="162">
      <c r="A162" t="inlineStr">
        <is>
          <t>公司管理</t>
        </is>
      </c>
      <c r="B162" t="inlineStr">
        <is>
          <t>明细</t>
        </is>
      </c>
      <c r="C162" t="inlineStr">
        <is>
          <t>纳税人识别号</t>
        </is>
      </c>
      <c r="D162" t="inlineStr">
        <is>
          <t>tax_no</t>
        </is>
      </c>
      <c r="E162" t="inlineStr">
        <is>
          <t>否</t>
        </is>
      </c>
    </row>
    <row r="163">
      <c r="A163" t="inlineStr">
        <is>
          <t>公司管理</t>
        </is>
      </c>
      <c r="B163" t="inlineStr">
        <is>
          <t>明细</t>
        </is>
      </c>
      <c r="C163" t="inlineStr">
        <is>
          <t>开票名称</t>
        </is>
      </c>
      <c r="D163" t="inlineStr">
        <is>
          <t>invoice_title</t>
        </is>
      </c>
      <c r="E163" t="inlineStr">
        <is>
          <t>否</t>
        </is>
      </c>
    </row>
    <row r="164">
      <c r="A164" t="inlineStr">
        <is>
          <t>公司管理</t>
        </is>
      </c>
      <c r="B164" t="inlineStr">
        <is>
          <t>明细</t>
        </is>
      </c>
      <c r="C164" t="inlineStr">
        <is>
          <t>开户银行</t>
        </is>
      </c>
      <c r="D164" t="inlineStr">
        <is>
          <t>bank_name</t>
        </is>
      </c>
      <c r="E164" t="inlineStr">
        <is>
          <t>否</t>
        </is>
      </c>
    </row>
    <row r="165">
      <c r="A165" t="inlineStr">
        <is>
          <t>公司管理</t>
        </is>
      </c>
      <c r="B165" t="inlineStr">
        <is>
          <t>明细</t>
        </is>
      </c>
      <c r="C165" t="inlineStr">
        <is>
          <t>账户名称</t>
        </is>
      </c>
      <c r="D165" t="inlineStr">
        <is>
          <t>account_name</t>
        </is>
      </c>
      <c r="E165" t="inlineStr">
        <is>
          <t>否</t>
        </is>
      </c>
    </row>
    <row r="166">
      <c r="A166" t="inlineStr">
        <is>
          <t>公司管理</t>
        </is>
      </c>
      <c r="B166" t="inlineStr">
        <is>
          <t>明细</t>
        </is>
      </c>
      <c r="C166" t="inlineStr">
        <is>
          <t>银行账号</t>
        </is>
      </c>
      <c r="D166" t="inlineStr">
        <is>
          <t>bank_account</t>
        </is>
      </c>
      <c r="E166" t="inlineStr">
        <is>
          <t>否</t>
        </is>
      </c>
    </row>
    <row r="167">
      <c r="A167" t="inlineStr">
        <is>
          <t>公司管理</t>
        </is>
      </c>
      <c r="B167" t="inlineStr">
        <is>
          <t>明细</t>
        </is>
      </c>
      <c r="C167" t="inlineStr">
        <is>
          <t>开户支行</t>
        </is>
      </c>
      <c r="D167" t="inlineStr">
        <is>
          <t>bank_branch</t>
        </is>
      </c>
      <c r="E167" t="inlineStr">
        <is>
          <t>否</t>
        </is>
      </c>
    </row>
    <row r="168">
      <c r="A168" t="inlineStr">
        <is>
          <t>公司管理</t>
        </is>
      </c>
      <c r="B168" t="inlineStr">
        <is>
          <t>明细</t>
        </is>
      </c>
      <c r="C168" t="inlineStr">
        <is>
          <t>开票电话</t>
        </is>
      </c>
      <c r="D168" t="inlineStr">
        <is>
          <t>invoice_phone</t>
        </is>
      </c>
      <c r="E168" t="inlineStr">
        <is>
          <t>否</t>
        </is>
      </c>
    </row>
    <row r="169">
      <c r="A169" t="inlineStr">
        <is>
          <t>公司管理</t>
        </is>
      </c>
      <c r="B169" t="inlineStr">
        <is>
          <t>明细</t>
        </is>
      </c>
      <c r="C169" t="inlineStr">
        <is>
          <t>开票地址</t>
        </is>
      </c>
      <c r="D169" t="inlineStr">
        <is>
          <t>invoice_address</t>
        </is>
      </c>
      <c r="E169" t="inlineStr">
        <is>
          <t>否</t>
        </is>
      </c>
    </row>
    <row r="170">
      <c r="A170" t="inlineStr">
        <is>
          <t>公司管理</t>
        </is>
      </c>
      <c r="B170" t="inlineStr">
        <is>
          <t>明细</t>
        </is>
      </c>
      <c r="C170" t="inlineStr">
        <is>
          <t>通讯地址</t>
        </is>
      </c>
      <c r="D170" t="inlineStr">
        <is>
          <t>address</t>
        </is>
      </c>
      <c r="E170" t="inlineStr">
        <is>
          <t>否</t>
        </is>
      </c>
    </row>
    <row r="171">
      <c r="A171" t="inlineStr">
        <is>
          <t>公司管理</t>
        </is>
      </c>
      <c r="B171" t="inlineStr">
        <is>
          <t>明细</t>
        </is>
      </c>
      <c r="C171" t="inlineStr">
        <is>
          <t>邮箱</t>
        </is>
      </c>
      <c r="D171" t="inlineStr">
        <is>
          <t>email</t>
        </is>
      </c>
      <c r="E171" t="inlineStr">
        <is>
          <t>否</t>
        </is>
      </c>
    </row>
    <row r="172">
      <c r="A172" t="inlineStr">
        <is>
          <t>公司管理</t>
        </is>
      </c>
      <c r="B172" t="inlineStr">
        <is>
          <t>明细</t>
        </is>
      </c>
      <c r="C172" t="inlineStr">
        <is>
          <t>手机</t>
        </is>
      </c>
      <c r="D172" t="inlineStr">
        <is>
          <t>mobile</t>
        </is>
      </c>
      <c r="E172" t="inlineStr">
        <is>
          <t>否</t>
        </is>
      </c>
    </row>
    <row r="173">
      <c r="A173" t="inlineStr">
        <is>
          <t>公司管理</t>
        </is>
      </c>
      <c r="B173" t="inlineStr">
        <is>
          <t>明细</t>
        </is>
      </c>
      <c r="C173" t="inlineStr">
        <is>
          <t>法人代表</t>
        </is>
      </c>
      <c r="D173" t="inlineStr">
        <is>
          <t>legal_name</t>
        </is>
      </c>
      <c r="E173" t="inlineStr">
        <is>
          <t>否</t>
        </is>
      </c>
    </row>
    <row r="174">
      <c r="A174" t="inlineStr">
        <is>
          <t>公司管理</t>
        </is>
      </c>
      <c r="B174" t="inlineStr">
        <is>
          <t>明细</t>
        </is>
      </c>
      <c r="C174" t="inlineStr">
        <is>
          <t>委托代理人</t>
        </is>
      </c>
      <c r="D174" t="inlineStr">
        <is>
          <t>agent_name</t>
        </is>
      </c>
      <c r="E174" t="inlineStr">
        <is>
          <t>否</t>
        </is>
      </c>
    </row>
    <row r="175">
      <c r="A175" t="inlineStr">
        <is>
          <t>公司管理</t>
        </is>
      </c>
      <c r="B175" t="inlineStr">
        <is>
          <t>明细</t>
        </is>
      </c>
      <c r="C175" t="inlineStr">
        <is>
          <t>联系人</t>
        </is>
      </c>
      <c r="D175" t="inlineStr">
        <is>
          <t>contact_name</t>
        </is>
      </c>
      <c r="E175" t="inlineStr">
        <is>
          <t>否</t>
        </is>
      </c>
    </row>
    <row r="176">
      <c r="A176" t="inlineStr">
        <is>
          <t>公司管理</t>
        </is>
      </c>
      <c r="B176" t="inlineStr">
        <is>
          <t>明细</t>
        </is>
      </c>
      <c r="C176" t="inlineStr">
        <is>
          <t>联系电话</t>
        </is>
      </c>
      <c r="D176" t="inlineStr">
        <is>
          <t>contact_phone</t>
        </is>
      </c>
      <c r="E176" t="inlineStr">
        <is>
          <t>否</t>
        </is>
      </c>
    </row>
    <row r="177">
      <c r="A177" t="inlineStr">
        <is>
          <t>公司管理</t>
        </is>
      </c>
      <c r="B177" t="inlineStr">
        <is>
          <t>明细</t>
        </is>
      </c>
      <c r="C177" t="inlineStr">
        <is>
          <t>备注</t>
        </is>
      </c>
      <c r="D177" t="inlineStr">
        <is>
          <t>remark</t>
        </is>
      </c>
      <c r="E177" t="inlineStr">
        <is>
          <t>否</t>
        </is>
      </c>
    </row>
    <row r="178">
      <c r="A178" t="inlineStr">
        <is>
          <t>资金账户</t>
        </is>
      </c>
      <c r="B178" t="inlineStr">
        <is>
          <t>明细</t>
        </is>
      </c>
      <c r="C178" t="inlineStr">
        <is>
          <t>编码</t>
        </is>
      </c>
      <c r="D178" t="inlineStr">
        <is>
          <t>code</t>
        </is>
      </c>
      <c r="E178" t="inlineStr">
        <is>
          <t>是</t>
        </is>
      </c>
    </row>
    <row r="179">
      <c r="A179" t="inlineStr">
        <is>
          <t>资金账户</t>
        </is>
      </c>
      <c r="B179" t="inlineStr">
        <is>
          <t>明细</t>
        </is>
      </c>
      <c r="C179" t="inlineStr">
        <is>
          <t>名称</t>
        </is>
      </c>
      <c r="D179" t="inlineStr">
        <is>
          <t>name</t>
        </is>
      </c>
      <c r="E179" t="inlineStr">
        <is>
          <t>是</t>
        </is>
      </c>
    </row>
    <row r="180">
      <c r="A180" t="inlineStr">
        <is>
          <t>资金账户</t>
        </is>
      </c>
      <c r="B180" t="inlineStr">
        <is>
          <t>明细</t>
        </is>
      </c>
      <c r="C180" t="inlineStr">
        <is>
          <t>账号</t>
        </is>
      </c>
      <c r="D180" t="inlineStr">
        <is>
          <t>account_no</t>
        </is>
      </c>
      <c r="E180" t="inlineStr">
        <is>
          <t>否</t>
        </is>
      </c>
    </row>
    <row r="181">
      <c r="A181" t="inlineStr">
        <is>
          <t>资金账户</t>
        </is>
      </c>
      <c r="B181" t="inlineStr">
        <is>
          <t>明细</t>
        </is>
      </c>
      <c r="C181" t="inlineStr">
        <is>
          <t>状态</t>
        </is>
      </c>
      <c r="D181" t="inlineStr">
        <is>
          <t>status</t>
        </is>
      </c>
      <c r="E181" t="inlineStr">
        <is>
          <t>否</t>
        </is>
      </c>
    </row>
    <row r="182">
      <c r="A182" t="inlineStr">
        <is>
          <t>合同类型</t>
        </is>
      </c>
      <c r="B182" t="inlineStr">
        <is>
          <t>明细</t>
        </is>
      </c>
      <c r="C182" t="inlineStr">
        <is>
          <t>编码</t>
        </is>
      </c>
      <c r="D182" t="inlineStr">
        <is>
          <t>code</t>
        </is>
      </c>
      <c r="E182" t="inlineStr">
        <is>
          <t>是</t>
        </is>
      </c>
    </row>
    <row r="183">
      <c r="A183" t="inlineStr">
        <is>
          <t>合同类型</t>
        </is>
      </c>
      <c r="B183" t="inlineStr">
        <is>
          <t>明细</t>
        </is>
      </c>
      <c r="C183" t="inlineStr">
        <is>
          <t>名称</t>
        </is>
      </c>
      <c r="D183" t="inlineStr">
        <is>
          <t>name</t>
        </is>
      </c>
      <c r="E183" t="inlineStr">
        <is>
          <t>是</t>
        </is>
      </c>
    </row>
    <row r="184">
      <c r="A184" t="inlineStr">
        <is>
          <t>合同类型</t>
        </is>
      </c>
      <c r="B184" t="inlineStr">
        <is>
          <t>明细</t>
        </is>
      </c>
      <c r="C184" t="inlineStr">
        <is>
          <t>备注</t>
        </is>
      </c>
      <c r="D184" t="inlineStr">
        <is>
          <t>remark</t>
        </is>
      </c>
      <c r="E184" t="inlineStr">
        <is>
          <t>否</t>
        </is>
      </c>
    </row>
    <row r="185">
      <c r="A185" t="inlineStr">
        <is>
          <t>合同类型</t>
        </is>
      </c>
      <c r="B185" t="inlineStr">
        <is>
          <t>明细</t>
        </is>
      </c>
      <c r="C185" t="inlineStr">
        <is>
          <t>状态</t>
        </is>
      </c>
      <c r="D185" t="inlineStr">
        <is>
          <t>status</t>
        </is>
      </c>
      <c r="E185" t="inlineStr">
        <is>
          <t>否</t>
        </is>
      </c>
    </row>
    <row r="186">
      <c r="A186" t="inlineStr">
        <is>
          <t>采购计划</t>
        </is>
      </c>
      <c r="B186" t="inlineStr">
        <is>
          <t>明细</t>
        </is>
      </c>
      <c r="C186" t="inlineStr">
        <is>
          <t>计划月份</t>
        </is>
      </c>
      <c r="D186" t="inlineStr">
        <is>
          <t>计划月份</t>
        </is>
      </c>
      <c r="E186" t="inlineStr">
        <is>
          <t>否</t>
        </is>
      </c>
      <c r="G186" t="inlineStr">
        <is>
          <t>月份</t>
        </is>
      </c>
    </row>
    <row r="187">
      <c r="A187" t="inlineStr">
        <is>
          <t>采购计划</t>
        </is>
      </c>
      <c r="B187" t="inlineStr">
        <is>
          <t>明细</t>
        </is>
      </c>
      <c r="C187" t="inlineStr">
        <is>
          <t>采购序号</t>
        </is>
      </c>
      <c r="D187" t="inlineStr">
        <is>
          <t>采购序号</t>
        </is>
      </c>
      <c r="E187" t="inlineStr">
        <is>
          <t>否</t>
        </is>
      </c>
      <c r="G187" t="inlineStr">
        <is>
          <t>序号</t>
        </is>
      </c>
    </row>
    <row r="188">
      <c r="A188" t="inlineStr">
        <is>
          <t>采购计划</t>
        </is>
      </c>
      <c r="B188" t="inlineStr">
        <is>
          <t>明细</t>
        </is>
      </c>
      <c r="C188" t="inlineStr">
        <is>
          <t>物料编号</t>
        </is>
      </c>
      <c r="D188" t="inlineStr">
        <is>
          <t>物料编号</t>
        </is>
      </c>
      <c r="E188" t="inlineStr">
        <is>
          <t>是</t>
        </is>
      </c>
      <c r="G188" t="inlineStr">
        <is>
          <t>物料编码|物料代码</t>
        </is>
      </c>
    </row>
    <row r="189">
      <c r="A189" t="inlineStr">
        <is>
          <t>采购计划</t>
        </is>
      </c>
      <c r="B189" t="inlineStr">
        <is>
          <t>明细</t>
        </is>
      </c>
      <c r="C189" t="inlineStr">
        <is>
          <t>采购计划单号</t>
        </is>
      </c>
      <c r="D189" t="inlineStr">
        <is>
          <t>采购计划单号</t>
        </is>
      </c>
      <c r="E189" t="inlineStr">
        <is>
          <t>否</t>
        </is>
      </c>
      <c r="G189" t="inlineStr">
        <is>
          <t>计划单号</t>
        </is>
      </c>
    </row>
    <row r="190">
      <c r="A190" t="inlineStr">
        <is>
          <t>采购计划</t>
        </is>
      </c>
      <c r="B190" t="inlineStr">
        <is>
          <t>明细</t>
        </is>
      </c>
      <c r="C190" t="inlineStr">
        <is>
          <t>使用设备</t>
        </is>
      </c>
      <c r="D190" t="inlineStr">
        <is>
          <t>使用设备</t>
        </is>
      </c>
      <c r="E190" t="inlineStr">
        <is>
          <t>否</t>
        </is>
      </c>
      <c r="G190" t="inlineStr">
        <is>
          <t>类别</t>
        </is>
      </c>
    </row>
    <row r="191">
      <c r="A191" t="inlineStr">
        <is>
          <t>采购计划</t>
        </is>
      </c>
      <c r="B191" t="inlineStr">
        <is>
          <t>明细</t>
        </is>
      </c>
      <c r="C191" t="inlineStr">
        <is>
          <t>中文名称</t>
        </is>
      </c>
      <c r="D191" t="inlineStr">
        <is>
          <t>中文名称</t>
        </is>
      </c>
      <c r="E191" t="inlineStr">
        <is>
          <t>是</t>
        </is>
      </c>
    </row>
    <row r="192">
      <c r="A192" t="inlineStr">
        <is>
          <t>采购计划</t>
        </is>
      </c>
      <c r="B192" t="inlineStr">
        <is>
          <t>明细</t>
        </is>
      </c>
      <c r="C192" t="inlineStr">
        <is>
          <t>英文名称</t>
        </is>
      </c>
      <c r="D192" t="inlineStr">
        <is>
          <t>英文名称</t>
        </is>
      </c>
      <c r="E192" t="inlineStr">
        <is>
          <t>否</t>
        </is>
      </c>
    </row>
    <row r="193">
      <c r="A193" t="inlineStr">
        <is>
          <t>采购计划</t>
        </is>
      </c>
      <c r="B193" t="inlineStr">
        <is>
          <t>明细</t>
        </is>
      </c>
      <c r="C193" t="inlineStr">
        <is>
          <t>规格型号</t>
        </is>
      </c>
      <c r="D193" t="inlineStr">
        <is>
          <t>规格型号</t>
        </is>
      </c>
      <c r="E193" t="inlineStr">
        <is>
          <t>否</t>
        </is>
      </c>
      <c r="G193" t="inlineStr">
        <is>
          <t>规格</t>
        </is>
      </c>
    </row>
    <row r="194">
      <c r="A194" t="inlineStr">
        <is>
          <t>采购计划</t>
        </is>
      </c>
      <c r="B194" t="inlineStr">
        <is>
          <t>明细</t>
        </is>
      </c>
      <c r="C194" t="inlineStr">
        <is>
          <t>单位</t>
        </is>
      </c>
      <c r="D194" t="inlineStr">
        <is>
          <t>单位</t>
        </is>
      </c>
      <c r="E194" t="inlineStr">
        <is>
          <t>否</t>
        </is>
      </c>
    </row>
    <row r="195">
      <c r="A195" t="inlineStr">
        <is>
          <t>采购计划</t>
        </is>
      </c>
      <c r="B195" t="inlineStr">
        <is>
          <t>明细</t>
        </is>
      </c>
      <c r="C195" t="inlineStr">
        <is>
          <t>采购数量</t>
        </is>
      </c>
      <c r="D195" t="inlineStr">
        <is>
          <t>采购数量</t>
        </is>
      </c>
      <c r="E195" t="inlineStr">
        <is>
          <t>是</t>
        </is>
      </c>
    </row>
    <row r="196">
      <c r="A196" t="inlineStr">
        <is>
          <t>采购计划</t>
        </is>
      </c>
      <c r="B196" t="inlineStr">
        <is>
          <t>明细</t>
        </is>
      </c>
      <c r="C196" t="inlineStr">
        <is>
          <t>用途</t>
        </is>
      </c>
      <c r="D196" t="inlineStr">
        <is>
          <t>用途</t>
        </is>
      </c>
      <c r="E196" t="inlineStr">
        <is>
          <t>否</t>
        </is>
      </c>
    </row>
    <row r="197">
      <c r="A197" t="inlineStr">
        <is>
          <t>采购计划</t>
        </is>
      </c>
      <c r="B197" t="inlineStr">
        <is>
          <t>明细</t>
        </is>
      </c>
      <c r="C197" t="inlineStr">
        <is>
          <t>使用部门</t>
        </is>
      </c>
      <c r="D197" t="inlineStr">
        <is>
          <t>使用部门</t>
        </is>
      </c>
      <c r="E197" t="inlineStr">
        <is>
          <t>否</t>
        </is>
      </c>
    </row>
    <row r="198">
      <c r="A198" t="inlineStr">
        <is>
          <t>采购计划</t>
        </is>
      </c>
      <c r="B198" t="inlineStr">
        <is>
          <t>明细</t>
        </is>
      </c>
      <c r="C198" t="inlineStr">
        <is>
          <t>备注</t>
        </is>
      </c>
      <c r="D198" t="inlineStr">
        <is>
          <t>备注</t>
        </is>
      </c>
      <c r="E198" t="inlineStr">
        <is>
          <t>否</t>
        </is>
      </c>
    </row>
    <row r="199">
      <c r="A199" t="inlineStr">
        <is>
          <t>采购计划</t>
        </is>
      </c>
      <c r="B199" t="inlineStr">
        <is>
          <t>明细</t>
        </is>
      </c>
      <c r="C199" t="inlineStr">
        <is>
          <t>库存数量</t>
        </is>
      </c>
      <c r="D199" t="inlineStr">
        <is>
          <t>库存数量</t>
        </is>
      </c>
      <c r="E199" t="inlineStr">
        <is>
          <t>否</t>
        </is>
      </c>
    </row>
    <row r="200">
      <c r="A200" t="inlineStr">
        <is>
          <t>采购计划</t>
        </is>
      </c>
      <c r="B200" t="inlineStr">
        <is>
          <t>明细</t>
        </is>
      </c>
      <c r="C200" t="inlineStr">
        <is>
          <t>在途数量</t>
        </is>
      </c>
      <c r="D200" t="inlineStr">
        <is>
          <t>在途数量</t>
        </is>
      </c>
      <c r="E200" t="inlineStr">
        <is>
          <t>否</t>
        </is>
      </c>
    </row>
    <row r="201">
      <c r="A201" t="inlineStr">
        <is>
          <t>采购计划</t>
        </is>
      </c>
      <c r="B201" t="inlineStr">
        <is>
          <t>明细</t>
        </is>
      </c>
      <c r="C201" t="inlineStr">
        <is>
          <t>4个月消耗量</t>
        </is>
      </c>
      <c r="D201" t="inlineStr">
        <is>
          <t>4个月消耗量</t>
        </is>
      </c>
      <c r="E201" t="inlineStr">
        <is>
          <t>否</t>
        </is>
      </c>
    </row>
    <row r="202">
      <c r="A202" t="inlineStr">
        <is>
          <t>商品</t>
        </is>
      </c>
      <c r="B202" t="inlineStr">
        <is>
          <t>明细</t>
        </is>
      </c>
      <c r="C202" t="inlineStr">
        <is>
          <t>物料编号</t>
        </is>
      </c>
      <c r="D202" t="inlineStr">
        <is>
          <t>物料编号</t>
        </is>
      </c>
      <c r="E202" t="inlineStr">
        <is>
          <t>是</t>
        </is>
      </c>
    </row>
    <row r="203">
      <c r="A203" t="inlineStr">
        <is>
          <t>商品</t>
        </is>
      </c>
      <c r="B203" t="inlineStr">
        <is>
          <t>明细</t>
        </is>
      </c>
      <c r="C203" t="inlineStr">
        <is>
          <t>名称</t>
        </is>
      </c>
      <c r="D203" t="inlineStr">
        <is>
          <t>名称</t>
        </is>
      </c>
      <c r="E203" t="inlineStr">
        <is>
          <t>是</t>
        </is>
      </c>
    </row>
    <row r="204">
      <c r="A204" t="inlineStr">
        <is>
          <t>商品</t>
        </is>
      </c>
      <c r="B204" t="inlineStr">
        <is>
          <t>明细</t>
        </is>
      </c>
      <c r="C204" t="inlineStr">
        <is>
          <t>规格</t>
        </is>
      </c>
      <c r="D204" t="inlineStr">
        <is>
          <t>规格</t>
        </is>
      </c>
      <c r="E204" t="inlineStr">
        <is>
          <t>否</t>
        </is>
      </c>
    </row>
    <row r="205">
      <c r="A205" t="inlineStr">
        <is>
          <t>商品</t>
        </is>
      </c>
      <c r="B205" t="inlineStr">
        <is>
          <t>明细</t>
        </is>
      </c>
      <c r="C205" t="inlineStr">
        <is>
          <t>单位</t>
        </is>
      </c>
      <c r="D205" t="inlineStr">
        <is>
          <t>单位</t>
        </is>
      </c>
      <c r="E205" t="inlineStr">
        <is>
          <t>是</t>
        </is>
      </c>
    </row>
    <row r="206">
      <c r="A206" t="inlineStr">
        <is>
          <t>商品</t>
        </is>
      </c>
      <c r="B206" t="inlineStr">
        <is>
          <t>明细</t>
        </is>
      </c>
      <c r="C206" t="inlineStr">
        <is>
          <t>分类编码</t>
        </is>
      </c>
      <c r="D206" t="inlineStr">
        <is>
          <t>分类编码</t>
        </is>
      </c>
      <c r="E206" t="inlineStr">
        <is>
          <t>否</t>
        </is>
      </c>
    </row>
    <row r="207">
      <c r="A207" t="inlineStr">
        <is>
          <t>商品</t>
        </is>
      </c>
      <c r="B207" t="inlineStr">
        <is>
          <t>明细</t>
        </is>
      </c>
      <c r="C207" t="inlineStr">
        <is>
          <t>含税单价</t>
        </is>
      </c>
      <c r="D207" t="inlineStr">
        <is>
          <t>含税单价</t>
        </is>
      </c>
      <c r="E207" t="inlineStr">
        <is>
          <t>否</t>
        </is>
      </c>
    </row>
    <row r="208">
      <c r="A208" t="inlineStr">
        <is>
          <t>采购订单</t>
        </is>
      </c>
      <c r="B208" t="inlineStr">
        <is>
          <t>明细</t>
        </is>
      </c>
      <c r="C208" t="inlineStr">
        <is>
          <t>订单编号</t>
        </is>
      </c>
      <c r="D208" t="inlineStr">
        <is>
          <t>订单编号</t>
        </is>
      </c>
      <c r="E208" t="inlineStr">
        <is>
          <t>否</t>
        </is>
      </c>
    </row>
    <row r="209">
      <c r="A209" t="inlineStr">
        <is>
          <t>采购订单</t>
        </is>
      </c>
      <c r="B209" t="inlineStr">
        <is>
          <t>明细</t>
        </is>
      </c>
      <c r="C209" t="inlineStr">
        <is>
          <t>源合同编号</t>
        </is>
      </c>
      <c r="D209" t="inlineStr">
        <is>
          <t>源合同编号</t>
        </is>
      </c>
      <c r="E209" t="inlineStr">
        <is>
          <t>是</t>
        </is>
      </c>
    </row>
    <row r="210">
      <c r="A210" t="inlineStr">
        <is>
          <t>采购订单</t>
        </is>
      </c>
      <c r="B210" t="inlineStr">
        <is>
          <t>明细</t>
        </is>
      </c>
      <c r="C210" t="inlineStr">
        <is>
          <t>单据日期</t>
        </is>
      </c>
      <c r="D210" t="inlineStr">
        <is>
          <t>单据日期</t>
        </is>
      </c>
      <c r="E210" t="inlineStr">
        <is>
          <t>否</t>
        </is>
      </c>
    </row>
    <row r="211">
      <c r="A211" t="inlineStr">
        <is>
          <t>采购订单</t>
        </is>
      </c>
      <c r="B211" t="inlineStr">
        <is>
          <t>明细</t>
        </is>
      </c>
      <c r="C211" t="inlineStr">
        <is>
          <t>备注</t>
        </is>
      </c>
      <c r="D211" t="inlineStr">
        <is>
          <t>备注</t>
        </is>
      </c>
      <c r="E211" t="inlineStr">
        <is>
          <t>否</t>
        </is>
      </c>
    </row>
    <row r="212">
      <c r="A212" t="inlineStr">
        <is>
          <t>采购订单</t>
        </is>
      </c>
      <c r="B212" t="inlineStr">
        <is>
          <t>明细</t>
        </is>
      </c>
      <c r="C212" t="inlineStr">
        <is>
          <t>物料编号</t>
        </is>
      </c>
      <c r="D212" t="inlineStr">
        <is>
          <t>物料编号</t>
        </is>
      </c>
      <c r="E212" t="inlineStr">
        <is>
          <t>是</t>
        </is>
      </c>
    </row>
    <row r="213">
      <c r="A213" t="inlineStr">
        <is>
          <t>采购订单</t>
        </is>
      </c>
      <c r="B213" t="inlineStr">
        <is>
          <t>明细</t>
        </is>
      </c>
      <c r="C213" t="inlineStr">
        <is>
          <t>数量</t>
        </is>
      </c>
      <c r="D213" t="inlineStr">
        <is>
          <t>数量</t>
        </is>
      </c>
      <c r="E213" t="inlineStr">
        <is>
          <t>是</t>
        </is>
      </c>
    </row>
    <row r="214">
      <c r="A214" t="inlineStr">
        <is>
          <t>采购订单</t>
        </is>
      </c>
      <c r="B214" t="inlineStr">
        <is>
          <t>明细</t>
        </is>
      </c>
      <c r="C214" t="inlineStr">
        <is>
          <t>含税单价</t>
        </is>
      </c>
      <c r="D214" t="inlineStr">
        <is>
          <t>含税单价</t>
        </is>
      </c>
      <c r="E214" t="inlineStr">
        <is>
          <t>是</t>
        </is>
      </c>
    </row>
    <row r="215">
      <c r="A215" t="inlineStr">
        <is>
          <t>销售订单</t>
        </is>
      </c>
      <c r="B215" t="inlineStr">
        <is>
          <t>明细</t>
        </is>
      </c>
      <c r="C215" t="inlineStr">
        <is>
          <t>订单编号</t>
        </is>
      </c>
      <c r="D215" t="inlineStr">
        <is>
          <t>订单编号</t>
        </is>
      </c>
      <c r="E215" t="inlineStr">
        <is>
          <t>否</t>
        </is>
      </c>
    </row>
    <row r="216">
      <c r="A216" t="inlineStr">
        <is>
          <t>销售订单</t>
        </is>
      </c>
      <c r="B216" t="inlineStr">
        <is>
          <t>明细</t>
        </is>
      </c>
      <c r="C216" t="inlineStr">
        <is>
          <t>源合同编号</t>
        </is>
      </c>
      <c r="D216" t="inlineStr">
        <is>
          <t>源合同编号</t>
        </is>
      </c>
      <c r="E216" t="inlineStr">
        <is>
          <t>是</t>
        </is>
      </c>
    </row>
    <row r="217">
      <c r="A217" t="inlineStr">
        <is>
          <t>销售订单</t>
        </is>
      </c>
      <c r="B217" t="inlineStr">
        <is>
          <t>明细</t>
        </is>
      </c>
      <c r="C217" t="inlineStr">
        <is>
          <t>单据日期</t>
        </is>
      </c>
      <c r="D217" t="inlineStr">
        <is>
          <t>单据日期</t>
        </is>
      </c>
      <c r="E217" t="inlineStr">
        <is>
          <t>否</t>
        </is>
      </c>
    </row>
    <row r="218">
      <c r="A218" t="inlineStr">
        <is>
          <t>销售订单</t>
        </is>
      </c>
      <c r="B218" t="inlineStr">
        <is>
          <t>明细</t>
        </is>
      </c>
      <c r="C218" t="inlineStr">
        <is>
          <t>备注</t>
        </is>
      </c>
      <c r="D218" t="inlineStr">
        <is>
          <t>备注</t>
        </is>
      </c>
      <c r="E218" t="inlineStr">
        <is>
          <t>否</t>
        </is>
      </c>
    </row>
    <row r="219">
      <c r="A219" t="inlineStr">
        <is>
          <t>销售订单</t>
        </is>
      </c>
      <c r="B219" t="inlineStr">
        <is>
          <t>明细</t>
        </is>
      </c>
      <c r="C219" t="inlineStr">
        <is>
          <t>物料编号</t>
        </is>
      </c>
      <c r="D219" t="inlineStr">
        <is>
          <t>物料编号</t>
        </is>
      </c>
      <c r="E219" t="inlineStr">
        <is>
          <t>是</t>
        </is>
      </c>
    </row>
    <row r="220">
      <c r="A220" t="inlineStr">
        <is>
          <t>销售订单</t>
        </is>
      </c>
      <c r="B220" t="inlineStr">
        <is>
          <t>明细</t>
        </is>
      </c>
      <c r="C220" t="inlineStr">
        <is>
          <t>数量</t>
        </is>
      </c>
      <c r="D220" t="inlineStr">
        <is>
          <t>数量</t>
        </is>
      </c>
      <c r="E220" t="inlineStr">
        <is>
          <t>是</t>
        </is>
      </c>
    </row>
    <row r="221">
      <c r="A221" t="inlineStr">
        <is>
          <t>销售订单</t>
        </is>
      </c>
      <c r="B221" t="inlineStr">
        <is>
          <t>明细</t>
        </is>
      </c>
      <c r="C221" t="inlineStr">
        <is>
          <t>含税单价</t>
        </is>
      </c>
      <c r="D221" t="inlineStr">
        <is>
          <t>含税单价</t>
        </is>
      </c>
      <c r="E221" t="inlineStr">
        <is>
          <t>是</t>
        </is>
      </c>
    </row>
    <row r="222">
      <c r="A222" t="inlineStr">
        <is>
          <t>进项发票</t>
        </is>
      </c>
      <c r="B222" t="inlineStr">
        <is>
          <t>明细</t>
        </is>
      </c>
      <c r="C222" t="inlineStr">
        <is>
          <t>单据编号</t>
        </is>
      </c>
      <c r="D222" t="inlineStr">
        <is>
          <t>单据编号</t>
        </is>
      </c>
      <c r="E222" t="inlineStr">
        <is>
          <t>否</t>
        </is>
      </c>
    </row>
    <row r="223">
      <c r="A223" t="inlineStr">
        <is>
          <t>进项发票</t>
        </is>
      </c>
      <c r="B223" t="inlineStr">
        <is>
          <t>明细</t>
        </is>
      </c>
      <c r="C223" t="inlineStr">
        <is>
          <t>发票号码</t>
        </is>
      </c>
      <c r="D223" t="inlineStr">
        <is>
          <t>发票号码</t>
        </is>
      </c>
      <c r="E223" t="inlineStr">
        <is>
          <t>是</t>
        </is>
      </c>
    </row>
    <row r="224">
      <c r="A224" t="inlineStr">
        <is>
          <t>进项发票</t>
        </is>
      </c>
      <c r="B224" t="inlineStr">
        <is>
          <t>明细</t>
        </is>
      </c>
      <c r="C224" t="inlineStr">
        <is>
          <t>发票日期</t>
        </is>
      </c>
      <c r="D224" t="inlineStr">
        <is>
          <t>发票日期</t>
        </is>
      </c>
      <c r="E224" t="inlineStr">
        <is>
          <t>否</t>
        </is>
      </c>
    </row>
    <row r="225">
      <c r="A225" t="inlineStr">
        <is>
          <t>进项发票</t>
        </is>
      </c>
      <c r="B225" t="inlineStr">
        <is>
          <t>明细</t>
        </is>
      </c>
      <c r="C225" t="inlineStr">
        <is>
          <t>发票类型</t>
        </is>
      </c>
      <c r="D225" t="inlineStr">
        <is>
          <t>发票类型</t>
        </is>
      </c>
      <c r="E225" t="inlineStr">
        <is>
          <t>否</t>
        </is>
      </c>
    </row>
    <row r="226">
      <c r="A226" t="inlineStr">
        <is>
          <t>进项发票</t>
        </is>
      </c>
      <c r="B226" t="inlineStr">
        <is>
          <t>明细</t>
        </is>
      </c>
      <c r="C226" t="inlineStr">
        <is>
          <t>客商编码</t>
        </is>
      </c>
      <c r="D226" t="inlineStr">
        <is>
          <t>客商编码</t>
        </is>
      </c>
      <c r="E226" t="inlineStr">
        <is>
          <t>否</t>
        </is>
      </c>
    </row>
    <row r="227">
      <c r="A227" t="inlineStr">
        <is>
          <t>进项发票</t>
        </is>
      </c>
      <c r="B227" t="inlineStr">
        <is>
          <t>明细</t>
        </is>
      </c>
      <c r="C227" t="inlineStr">
        <is>
          <t>合同编号</t>
        </is>
      </c>
      <c r="D227" t="inlineStr">
        <is>
          <t>合同编号</t>
        </is>
      </c>
      <c r="E227" t="inlineStr">
        <is>
          <t>是</t>
        </is>
      </c>
    </row>
    <row r="228">
      <c r="A228" t="inlineStr">
        <is>
          <t>进项发票</t>
        </is>
      </c>
      <c r="B228" t="inlineStr">
        <is>
          <t>明细</t>
        </is>
      </c>
      <c r="C228" t="inlineStr">
        <is>
          <t>不含税金额</t>
        </is>
      </c>
      <c r="D228" t="inlineStr">
        <is>
          <t>不含税金额</t>
        </is>
      </c>
      <c r="E228" t="inlineStr">
        <is>
          <t>否</t>
        </is>
      </c>
    </row>
    <row r="229">
      <c r="A229" t="inlineStr">
        <is>
          <t>进项发票</t>
        </is>
      </c>
      <c r="B229" t="inlineStr">
        <is>
          <t>明细</t>
        </is>
      </c>
      <c r="C229" t="inlineStr">
        <is>
          <t>税额</t>
        </is>
      </c>
      <c r="D229" t="inlineStr">
        <is>
          <t>税额</t>
        </is>
      </c>
      <c r="E229" t="inlineStr">
        <is>
          <t>否</t>
        </is>
      </c>
    </row>
    <row r="230">
      <c r="A230" t="inlineStr">
        <is>
          <t>进项发票</t>
        </is>
      </c>
      <c r="B230" t="inlineStr">
        <is>
          <t>明细</t>
        </is>
      </c>
      <c r="C230" t="inlineStr">
        <is>
          <t>价税合计</t>
        </is>
      </c>
      <c r="D230" t="inlineStr">
        <is>
          <t>价税合计</t>
        </is>
      </c>
      <c r="E230" t="inlineStr">
        <is>
          <t>否</t>
        </is>
      </c>
    </row>
    <row r="231">
      <c r="A231" t="inlineStr">
        <is>
          <t>进项发票</t>
        </is>
      </c>
      <c r="B231" t="inlineStr">
        <is>
          <t>明细</t>
        </is>
      </c>
      <c r="C231" t="inlineStr">
        <is>
          <t>备注</t>
        </is>
      </c>
      <c r="D231" t="inlineStr">
        <is>
          <t>备注</t>
        </is>
      </c>
      <c r="E231" t="inlineStr">
        <is>
          <t>否</t>
        </is>
      </c>
    </row>
    <row r="232">
      <c r="A232" t="inlineStr">
        <is>
          <t>进项发票</t>
        </is>
      </c>
      <c r="B232" t="inlineStr">
        <is>
          <t>明细</t>
        </is>
      </c>
      <c r="C232" t="inlineStr">
        <is>
          <t>物料编号</t>
        </is>
      </c>
      <c r="D232" t="inlineStr">
        <is>
          <t>物料编号</t>
        </is>
      </c>
      <c r="E232" t="inlineStr">
        <is>
          <t>是</t>
        </is>
      </c>
    </row>
    <row r="233">
      <c r="A233" t="inlineStr">
        <is>
          <t>进项发票</t>
        </is>
      </c>
      <c r="B233" t="inlineStr">
        <is>
          <t>明细</t>
        </is>
      </c>
      <c r="C233" t="inlineStr">
        <is>
          <t>数量</t>
        </is>
      </c>
      <c r="D233" t="inlineStr">
        <is>
          <t>数量</t>
        </is>
      </c>
      <c r="E233" t="inlineStr">
        <is>
          <t>是</t>
        </is>
      </c>
    </row>
    <row r="234">
      <c r="A234" t="inlineStr">
        <is>
          <t>进项发票</t>
        </is>
      </c>
      <c r="B234" t="inlineStr">
        <is>
          <t>明细</t>
        </is>
      </c>
      <c r="C234" t="inlineStr">
        <is>
          <t>含税单价</t>
        </is>
      </c>
      <c r="D234" t="inlineStr">
        <is>
          <t>含税单价</t>
        </is>
      </c>
      <c r="E234" t="inlineStr">
        <is>
          <t>否</t>
        </is>
      </c>
    </row>
    <row r="235">
      <c r="A235" t="inlineStr">
        <is>
          <t>进项发票</t>
        </is>
      </c>
      <c r="B235" t="inlineStr">
        <is>
          <t>明细</t>
        </is>
      </c>
      <c r="C235" t="inlineStr">
        <is>
          <t>税率</t>
        </is>
      </c>
      <c r="D235" t="inlineStr">
        <is>
          <t>税率</t>
        </is>
      </c>
      <c r="E235" t="inlineStr">
        <is>
          <t>否</t>
        </is>
      </c>
    </row>
    <row r="236">
      <c r="A236" t="inlineStr">
        <is>
          <t>销项发票</t>
        </is>
      </c>
      <c r="B236" t="inlineStr">
        <is>
          <t>明细</t>
        </is>
      </c>
      <c r="C236" t="inlineStr">
        <is>
          <t>单据编号</t>
        </is>
      </c>
      <c r="D236" t="inlineStr">
        <is>
          <t>单据编号</t>
        </is>
      </c>
      <c r="E236" t="inlineStr">
        <is>
          <t>否</t>
        </is>
      </c>
    </row>
    <row r="237">
      <c r="A237" t="inlineStr">
        <is>
          <t>销项发票</t>
        </is>
      </c>
      <c r="B237" t="inlineStr">
        <is>
          <t>明细</t>
        </is>
      </c>
      <c r="C237" t="inlineStr">
        <is>
          <t>发票号码</t>
        </is>
      </c>
      <c r="D237" t="inlineStr">
        <is>
          <t>发票号码</t>
        </is>
      </c>
      <c r="E237" t="inlineStr">
        <is>
          <t>是</t>
        </is>
      </c>
    </row>
    <row r="238">
      <c r="A238" t="inlineStr">
        <is>
          <t>销项发票</t>
        </is>
      </c>
      <c r="B238" t="inlineStr">
        <is>
          <t>明细</t>
        </is>
      </c>
      <c r="C238" t="inlineStr">
        <is>
          <t>发票日期</t>
        </is>
      </c>
      <c r="D238" t="inlineStr">
        <is>
          <t>发票日期</t>
        </is>
      </c>
      <c r="E238" t="inlineStr">
        <is>
          <t>否</t>
        </is>
      </c>
    </row>
    <row r="239">
      <c r="A239" t="inlineStr">
        <is>
          <t>销项发票</t>
        </is>
      </c>
      <c r="B239" t="inlineStr">
        <is>
          <t>明细</t>
        </is>
      </c>
      <c r="C239" t="inlineStr">
        <is>
          <t>发票类型</t>
        </is>
      </c>
      <c r="D239" t="inlineStr">
        <is>
          <t>发票类型</t>
        </is>
      </c>
      <c r="E239" t="inlineStr">
        <is>
          <t>否</t>
        </is>
      </c>
    </row>
    <row r="240">
      <c r="A240" t="inlineStr">
        <is>
          <t>销项发票</t>
        </is>
      </c>
      <c r="B240" t="inlineStr">
        <is>
          <t>明细</t>
        </is>
      </c>
      <c r="C240" t="inlineStr">
        <is>
          <t>客商编码</t>
        </is>
      </c>
      <c r="D240" t="inlineStr">
        <is>
          <t>客商编码</t>
        </is>
      </c>
      <c r="E240" t="inlineStr">
        <is>
          <t>否</t>
        </is>
      </c>
    </row>
    <row r="241">
      <c r="A241" t="inlineStr">
        <is>
          <t>销项发票</t>
        </is>
      </c>
      <c r="B241" t="inlineStr">
        <is>
          <t>明细</t>
        </is>
      </c>
      <c r="C241" t="inlineStr">
        <is>
          <t>合同编号</t>
        </is>
      </c>
      <c r="D241" t="inlineStr">
        <is>
          <t>合同编号</t>
        </is>
      </c>
      <c r="E241" t="inlineStr">
        <is>
          <t>是</t>
        </is>
      </c>
    </row>
    <row r="242">
      <c r="A242" t="inlineStr">
        <is>
          <t>销项发票</t>
        </is>
      </c>
      <c r="B242" t="inlineStr">
        <is>
          <t>明细</t>
        </is>
      </c>
      <c r="C242" t="inlineStr">
        <is>
          <t>不含税金额</t>
        </is>
      </c>
      <c r="D242" t="inlineStr">
        <is>
          <t>不含税金额</t>
        </is>
      </c>
      <c r="E242" t="inlineStr">
        <is>
          <t>否</t>
        </is>
      </c>
    </row>
    <row r="243">
      <c r="A243" t="inlineStr">
        <is>
          <t>销项发票</t>
        </is>
      </c>
      <c r="B243" t="inlineStr">
        <is>
          <t>明细</t>
        </is>
      </c>
      <c r="C243" t="inlineStr">
        <is>
          <t>税额</t>
        </is>
      </c>
      <c r="D243" t="inlineStr">
        <is>
          <t>税额</t>
        </is>
      </c>
      <c r="E243" t="inlineStr">
        <is>
          <t>否</t>
        </is>
      </c>
    </row>
    <row r="244">
      <c r="A244" t="inlineStr">
        <is>
          <t>销项发票</t>
        </is>
      </c>
      <c r="B244" t="inlineStr">
        <is>
          <t>明细</t>
        </is>
      </c>
      <c r="C244" t="inlineStr">
        <is>
          <t>价税合计</t>
        </is>
      </c>
      <c r="D244" t="inlineStr">
        <is>
          <t>价税合计</t>
        </is>
      </c>
      <c r="E244" t="inlineStr">
        <is>
          <t>否</t>
        </is>
      </c>
    </row>
    <row r="245">
      <c r="A245" t="inlineStr">
        <is>
          <t>销项发票</t>
        </is>
      </c>
      <c r="B245" t="inlineStr">
        <is>
          <t>明细</t>
        </is>
      </c>
      <c r="C245" t="inlineStr">
        <is>
          <t>备注</t>
        </is>
      </c>
      <c r="D245" t="inlineStr">
        <is>
          <t>备注</t>
        </is>
      </c>
      <c r="E245" t="inlineStr">
        <is>
          <t>否</t>
        </is>
      </c>
    </row>
    <row r="246">
      <c r="A246" t="inlineStr">
        <is>
          <t>销项发票</t>
        </is>
      </c>
      <c r="B246" t="inlineStr">
        <is>
          <t>明细</t>
        </is>
      </c>
      <c r="C246" t="inlineStr">
        <is>
          <t>物料编号</t>
        </is>
      </c>
      <c r="D246" t="inlineStr">
        <is>
          <t>物料编号</t>
        </is>
      </c>
      <c r="E246" t="inlineStr">
        <is>
          <t>是</t>
        </is>
      </c>
    </row>
    <row r="247">
      <c r="A247" t="inlineStr">
        <is>
          <t>销项发票</t>
        </is>
      </c>
      <c r="B247" t="inlineStr">
        <is>
          <t>明细</t>
        </is>
      </c>
      <c r="C247" t="inlineStr">
        <is>
          <t>数量</t>
        </is>
      </c>
      <c r="D247" t="inlineStr">
        <is>
          <t>数量</t>
        </is>
      </c>
      <c r="E247" t="inlineStr">
        <is>
          <t>是</t>
        </is>
      </c>
    </row>
    <row r="248">
      <c r="A248" t="inlineStr">
        <is>
          <t>销项发票</t>
        </is>
      </c>
      <c r="B248" t="inlineStr">
        <is>
          <t>明细</t>
        </is>
      </c>
      <c r="C248" t="inlineStr">
        <is>
          <t>含税单价</t>
        </is>
      </c>
      <c r="D248" t="inlineStr">
        <is>
          <t>含税单价</t>
        </is>
      </c>
      <c r="E248" t="inlineStr">
        <is>
          <t>否</t>
        </is>
      </c>
    </row>
    <row r="249">
      <c r="A249" t="inlineStr">
        <is>
          <t>销项发票</t>
        </is>
      </c>
      <c r="B249" t="inlineStr">
        <is>
          <t>明细</t>
        </is>
      </c>
      <c r="C249" t="inlineStr">
        <is>
          <t>税率</t>
        </is>
      </c>
      <c r="D249" t="inlineStr">
        <is>
          <t>税率</t>
        </is>
      </c>
      <c r="E249" t="inlineStr">
        <is>
          <t>否</t>
        </is>
      </c>
    </row>
    <row r="250">
      <c r="A250" t="inlineStr">
        <is>
          <t>付款单</t>
        </is>
      </c>
      <c r="B250" t="inlineStr">
        <is>
          <t>明细</t>
        </is>
      </c>
      <c r="C250" t="inlineStr">
        <is>
          <t>单据编号</t>
        </is>
      </c>
      <c r="D250" t="inlineStr">
        <is>
          <t>单据编号</t>
        </is>
      </c>
      <c r="E250" t="inlineStr">
        <is>
          <t>否</t>
        </is>
      </c>
    </row>
    <row r="251">
      <c r="A251" t="inlineStr">
        <is>
          <t>付款单</t>
        </is>
      </c>
      <c r="B251" t="inlineStr">
        <is>
          <t>明细</t>
        </is>
      </c>
      <c r="C251" t="inlineStr">
        <is>
          <t>单据日期</t>
        </is>
      </c>
      <c r="D251" t="inlineStr">
        <is>
          <t>单据日期</t>
        </is>
      </c>
      <c r="E251" t="inlineStr">
        <is>
          <t>否</t>
        </is>
      </c>
    </row>
    <row r="252">
      <c r="A252" t="inlineStr">
        <is>
          <t>付款单</t>
        </is>
      </c>
      <c r="B252" t="inlineStr">
        <is>
          <t>明细</t>
        </is>
      </c>
      <c r="C252" t="inlineStr">
        <is>
          <t>客商编码</t>
        </is>
      </c>
      <c r="D252" t="inlineStr">
        <is>
          <t>客商编码</t>
        </is>
      </c>
      <c r="E252" t="inlineStr">
        <is>
          <t>否</t>
        </is>
      </c>
    </row>
    <row r="253">
      <c r="A253" t="inlineStr">
        <is>
          <t>付款单</t>
        </is>
      </c>
      <c r="B253" t="inlineStr">
        <is>
          <t>明细</t>
        </is>
      </c>
      <c r="C253" t="inlineStr">
        <is>
          <t>合同编号</t>
        </is>
      </c>
      <c r="D253" t="inlineStr">
        <is>
          <t>合同编号</t>
        </is>
      </c>
      <c r="E253" t="inlineStr">
        <is>
          <t>是</t>
        </is>
      </c>
    </row>
    <row r="254">
      <c r="A254" t="inlineStr">
        <is>
          <t>付款单</t>
        </is>
      </c>
      <c r="B254" t="inlineStr">
        <is>
          <t>明细</t>
        </is>
      </c>
      <c r="C254" t="inlineStr">
        <is>
          <t>阶段序号</t>
        </is>
      </c>
      <c r="D254" t="inlineStr">
        <is>
          <t>阶段序号</t>
        </is>
      </c>
      <c r="E254" t="inlineStr">
        <is>
          <t>或</t>
        </is>
      </c>
    </row>
    <row r="255">
      <c r="A255" t="inlineStr">
        <is>
          <t>付款单</t>
        </is>
      </c>
      <c r="B255" t="inlineStr">
        <is>
          <t>明细</t>
        </is>
      </c>
      <c r="C255" t="inlineStr">
        <is>
          <t>阶段名称</t>
        </is>
      </c>
      <c r="D255" t="inlineStr">
        <is>
          <t>阶段名称</t>
        </is>
      </c>
      <c r="E255" t="inlineStr">
        <is>
          <t>或</t>
        </is>
      </c>
    </row>
    <row r="256">
      <c r="A256" t="inlineStr">
        <is>
          <t>付款单</t>
        </is>
      </c>
      <c r="B256" t="inlineStr">
        <is>
          <t>明细</t>
        </is>
      </c>
      <c r="C256" t="inlineStr">
        <is>
          <t>金额</t>
        </is>
      </c>
      <c r="D256" t="inlineStr">
        <is>
          <t>金额</t>
        </is>
      </c>
      <c r="E256" t="inlineStr">
        <is>
          <t>是</t>
        </is>
      </c>
    </row>
    <row r="257">
      <c r="A257" t="inlineStr">
        <is>
          <t>付款单</t>
        </is>
      </c>
      <c r="B257" t="inlineStr">
        <is>
          <t>明细</t>
        </is>
      </c>
      <c r="C257" t="inlineStr">
        <is>
          <t>账户</t>
        </is>
      </c>
      <c r="D257" t="inlineStr">
        <is>
          <t>账户</t>
        </is>
      </c>
      <c r="E257" t="inlineStr">
        <is>
          <t>否</t>
        </is>
      </c>
    </row>
    <row r="258">
      <c r="A258" t="inlineStr">
        <is>
          <t>付款单</t>
        </is>
      </c>
      <c r="B258" t="inlineStr">
        <is>
          <t>明细</t>
        </is>
      </c>
      <c r="C258" t="inlineStr">
        <is>
          <t>备注</t>
        </is>
      </c>
      <c r="D258" t="inlineStr">
        <is>
          <t>备注</t>
        </is>
      </c>
      <c r="E258" t="inlineStr">
        <is>
          <t>否</t>
        </is>
      </c>
    </row>
    <row r="259">
      <c r="A259" t="inlineStr">
        <is>
          <t>收款单</t>
        </is>
      </c>
      <c r="B259" t="inlineStr">
        <is>
          <t>明细</t>
        </is>
      </c>
      <c r="C259" t="inlineStr">
        <is>
          <t>单据编号</t>
        </is>
      </c>
      <c r="D259" t="inlineStr">
        <is>
          <t>单据编号</t>
        </is>
      </c>
      <c r="E259" t="inlineStr">
        <is>
          <t>否</t>
        </is>
      </c>
    </row>
    <row r="260">
      <c r="A260" t="inlineStr">
        <is>
          <t>收款单</t>
        </is>
      </c>
      <c r="B260" t="inlineStr">
        <is>
          <t>明细</t>
        </is>
      </c>
      <c r="C260" t="inlineStr">
        <is>
          <t>单据日期</t>
        </is>
      </c>
      <c r="D260" t="inlineStr">
        <is>
          <t>单据日期</t>
        </is>
      </c>
      <c r="E260" t="inlineStr">
        <is>
          <t>否</t>
        </is>
      </c>
    </row>
    <row r="261">
      <c r="A261" t="inlineStr">
        <is>
          <t>收款单</t>
        </is>
      </c>
      <c r="B261" t="inlineStr">
        <is>
          <t>明细</t>
        </is>
      </c>
      <c r="C261" t="inlineStr">
        <is>
          <t>客商编码</t>
        </is>
      </c>
      <c r="D261" t="inlineStr">
        <is>
          <t>客商编码</t>
        </is>
      </c>
      <c r="E261" t="inlineStr">
        <is>
          <t>否</t>
        </is>
      </c>
    </row>
    <row r="262">
      <c r="A262" t="inlineStr">
        <is>
          <t>收款单</t>
        </is>
      </c>
      <c r="B262" t="inlineStr">
        <is>
          <t>明细</t>
        </is>
      </c>
      <c r="C262" t="inlineStr">
        <is>
          <t>合同编号</t>
        </is>
      </c>
      <c r="D262" t="inlineStr">
        <is>
          <t>合同编号</t>
        </is>
      </c>
      <c r="E262" t="inlineStr">
        <is>
          <t>是</t>
        </is>
      </c>
    </row>
    <row r="263">
      <c r="A263" t="inlineStr">
        <is>
          <t>收款单</t>
        </is>
      </c>
      <c r="B263" t="inlineStr">
        <is>
          <t>明细</t>
        </is>
      </c>
      <c r="C263" t="inlineStr">
        <is>
          <t>阶段序号</t>
        </is>
      </c>
      <c r="D263" t="inlineStr">
        <is>
          <t>阶段序号</t>
        </is>
      </c>
      <c r="E263" t="inlineStr">
        <is>
          <t>或</t>
        </is>
      </c>
    </row>
    <row r="264">
      <c r="A264" t="inlineStr">
        <is>
          <t>收款单</t>
        </is>
      </c>
      <c r="B264" t="inlineStr">
        <is>
          <t>明细</t>
        </is>
      </c>
      <c r="C264" t="inlineStr">
        <is>
          <t>阶段名称</t>
        </is>
      </c>
      <c r="D264" t="inlineStr">
        <is>
          <t>阶段名称</t>
        </is>
      </c>
      <c r="E264" t="inlineStr">
        <is>
          <t>或</t>
        </is>
      </c>
    </row>
    <row r="265">
      <c r="A265" t="inlineStr">
        <is>
          <t>收款单</t>
        </is>
      </c>
      <c r="B265" t="inlineStr">
        <is>
          <t>明细</t>
        </is>
      </c>
      <c r="C265" t="inlineStr">
        <is>
          <t>金额</t>
        </is>
      </c>
      <c r="D265" t="inlineStr">
        <is>
          <t>金额</t>
        </is>
      </c>
      <c r="E265" t="inlineStr">
        <is>
          <t>是</t>
        </is>
      </c>
    </row>
    <row r="266">
      <c r="A266" t="inlineStr">
        <is>
          <t>收款单</t>
        </is>
      </c>
      <c r="B266" t="inlineStr">
        <is>
          <t>明细</t>
        </is>
      </c>
      <c r="C266" t="inlineStr">
        <is>
          <t>账户</t>
        </is>
      </c>
      <c r="D266" t="inlineStr">
        <is>
          <t>账户</t>
        </is>
      </c>
      <c r="E266" t="inlineStr">
        <is>
          <t>否</t>
        </is>
      </c>
    </row>
    <row r="267">
      <c r="A267" t="inlineStr">
        <is>
          <t>收款单</t>
        </is>
      </c>
      <c r="B267" t="inlineStr">
        <is>
          <t>明细</t>
        </is>
      </c>
      <c r="C267" t="inlineStr">
        <is>
          <t>备注</t>
        </is>
      </c>
      <c r="D267" t="inlineStr">
        <is>
          <t>备注</t>
        </is>
      </c>
      <c r="E267" t="inlineStr">
        <is>
          <t>否</t>
        </is>
      </c>
    </row>
    <row r="268">
      <c r="A268" t="inlineStr">
        <is>
          <t>入仓单</t>
        </is>
      </c>
      <c r="B268" t="inlineStr">
        <is>
          <t>明细</t>
        </is>
      </c>
      <c r="C268" t="inlineStr">
        <is>
          <t>入仓单号</t>
        </is>
      </c>
      <c r="D268" t="inlineStr">
        <is>
          <t>入仓单号</t>
        </is>
      </c>
      <c r="E268" t="inlineStr">
        <is>
          <t>否</t>
        </is>
      </c>
    </row>
    <row r="269">
      <c r="A269" t="inlineStr">
        <is>
          <t>入仓单</t>
        </is>
      </c>
      <c r="B269" t="inlineStr">
        <is>
          <t>明细</t>
        </is>
      </c>
      <c r="C269" t="inlineStr">
        <is>
          <t>入仓日期</t>
        </is>
      </c>
      <c r="D269" t="inlineStr">
        <is>
          <t>入仓日期</t>
        </is>
      </c>
      <c r="E269" t="inlineStr">
        <is>
          <t>否</t>
        </is>
      </c>
    </row>
    <row r="270">
      <c r="A270" t="inlineStr">
        <is>
          <t>入仓单</t>
        </is>
      </c>
      <c r="B270" t="inlineStr">
        <is>
          <t>明细</t>
        </is>
      </c>
      <c r="C270" t="inlineStr">
        <is>
          <t>合同号</t>
        </is>
      </c>
      <c r="D270" t="inlineStr">
        <is>
          <t>合同号</t>
        </is>
      </c>
      <c r="E270" t="inlineStr">
        <is>
          <t>否</t>
        </is>
      </c>
    </row>
    <row r="271">
      <c r="A271" t="inlineStr">
        <is>
          <t>入仓单</t>
        </is>
      </c>
      <c r="B271" t="inlineStr">
        <is>
          <t>明细</t>
        </is>
      </c>
      <c r="C271" t="inlineStr">
        <is>
          <t>箱单号</t>
        </is>
      </c>
      <c r="D271" t="inlineStr">
        <is>
          <t>箱单号</t>
        </is>
      </c>
      <c r="E271" t="inlineStr">
        <is>
          <t>否</t>
        </is>
      </c>
    </row>
    <row r="272">
      <c r="A272" t="inlineStr">
        <is>
          <t>入仓单</t>
        </is>
      </c>
      <c r="B272" t="inlineStr">
        <is>
          <t>明细</t>
        </is>
      </c>
      <c r="C272" t="inlineStr">
        <is>
          <t>物料大类</t>
        </is>
      </c>
      <c r="D272" t="inlineStr">
        <is>
          <t>物料大类</t>
        </is>
      </c>
      <c r="E272" t="inlineStr">
        <is>
          <t>否</t>
        </is>
      </c>
    </row>
    <row r="273">
      <c r="A273" t="inlineStr">
        <is>
          <t>入仓单</t>
        </is>
      </c>
      <c r="B273" t="inlineStr">
        <is>
          <t>明细</t>
        </is>
      </c>
      <c r="C273" t="inlineStr">
        <is>
          <t>物料编号</t>
        </is>
      </c>
      <c r="D273" t="inlineStr">
        <is>
          <t>物料编号</t>
        </is>
      </c>
      <c r="E273" t="inlineStr">
        <is>
          <t>是</t>
        </is>
      </c>
    </row>
    <row r="274">
      <c r="A274" t="inlineStr">
        <is>
          <t>入仓单</t>
        </is>
      </c>
      <c r="B274" t="inlineStr">
        <is>
          <t>明细</t>
        </is>
      </c>
      <c r="C274" t="inlineStr">
        <is>
          <t>中文名称</t>
        </is>
      </c>
      <c r="D274" t="inlineStr">
        <is>
          <t>中文名称</t>
        </is>
      </c>
      <c r="E274" t="inlineStr">
        <is>
          <t>是</t>
        </is>
      </c>
    </row>
    <row r="275">
      <c r="A275" t="inlineStr">
        <is>
          <t>入仓单</t>
        </is>
      </c>
      <c r="B275" t="inlineStr">
        <is>
          <t>明细</t>
        </is>
      </c>
      <c r="C275" t="inlineStr">
        <is>
          <t>英文名称</t>
        </is>
      </c>
      <c r="D275" t="inlineStr">
        <is>
          <t>英文名称</t>
        </is>
      </c>
      <c r="E275" t="inlineStr">
        <is>
          <t>否</t>
        </is>
      </c>
    </row>
    <row r="276">
      <c r="A276" t="inlineStr">
        <is>
          <t>入仓单</t>
        </is>
      </c>
      <c r="B276" t="inlineStr">
        <is>
          <t>明细</t>
        </is>
      </c>
      <c r="C276" t="inlineStr">
        <is>
          <t>规格</t>
        </is>
      </c>
      <c r="D276" t="inlineStr">
        <is>
          <t>规格</t>
        </is>
      </c>
      <c r="E276" t="inlineStr">
        <is>
          <t>否</t>
        </is>
      </c>
    </row>
    <row r="277">
      <c r="A277" t="inlineStr">
        <is>
          <t>入仓单</t>
        </is>
      </c>
      <c r="B277" t="inlineStr">
        <is>
          <t>明细</t>
        </is>
      </c>
      <c r="C277" t="inlineStr">
        <is>
          <t>单位</t>
        </is>
      </c>
      <c r="D277" t="inlineStr">
        <is>
          <t>单位</t>
        </is>
      </c>
      <c r="E277" t="inlineStr">
        <is>
          <t>否</t>
        </is>
      </c>
    </row>
    <row r="278">
      <c r="A278" t="inlineStr">
        <is>
          <t>入仓单</t>
        </is>
      </c>
      <c r="B278" t="inlineStr">
        <is>
          <t>明细</t>
        </is>
      </c>
      <c r="C278" t="inlineStr">
        <is>
          <t>数量</t>
        </is>
      </c>
      <c r="D278" t="inlineStr">
        <is>
          <t>数量</t>
        </is>
      </c>
      <c r="E278" t="inlineStr">
        <is>
          <t>是</t>
        </is>
      </c>
    </row>
    <row r="279">
      <c r="A279" t="inlineStr">
        <is>
          <t>入仓单</t>
        </is>
      </c>
      <c r="B279" t="inlineStr">
        <is>
          <t>明细</t>
        </is>
      </c>
      <c r="C279" t="inlineStr">
        <is>
          <t>产地</t>
        </is>
      </c>
      <c r="D279" t="inlineStr">
        <is>
          <t>产地</t>
        </is>
      </c>
      <c r="E279" t="inlineStr">
        <is>
          <t>否</t>
        </is>
      </c>
    </row>
    <row r="280">
      <c r="A280" t="inlineStr">
        <is>
          <t>入仓单</t>
        </is>
      </c>
      <c r="B280" t="inlineStr">
        <is>
          <t>明细</t>
        </is>
      </c>
      <c r="C280" t="inlineStr">
        <is>
          <t>使用设备</t>
        </is>
      </c>
      <c r="D280" t="inlineStr">
        <is>
          <t>使用设备</t>
        </is>
      </c>
      <c r="E280" t="inlineStr">
        <is>
          <t>否</t>
        </is>
      </c>
    </row>
    <row r="281">
      <c r="A281" t="inlineStr">
        <is>
          <t>入仓单</t>
        </is>
      </c>
      <c r="B281" t="inlineStr">
        <is>
          <t>明细</t>
        </is>
      </c>
      <c r="C281" t="inlineStr">
        <is>
          <t>箱号</t>
        </is>
      </c>
      <c r="D281" t="inlineStr">
        <is>
          <t>箱号</t>
        </is>
      </c>
      <c r="E281" t="inlineStr">
        <is>
          <t>否</t>
        </is>
      </c>
    </row>
    <row r="282">
      <c r="A282" t="inlineStr">
        <is>
          <t>入仓单</t>
        </is>
      </c>
      <c r="B282" t="inlineStr">
        <is>
          <t>明细</t>
        </is>
      </c>
      <c r="C282" t="inlineStr">
        <is>
          <t>集装箱号</t>
        </is>
      </c>
      <c r="D282" t="inlineStr">
        <is>
          <t>集装箱号</t>
        </is>
      </c>
      <c r="E282" t="inlineStr">
        <is>
          <t>否</t>
        </is>
      </c>
    </row>
    <row r="283">
      <c r="A283" t="inlineStr">
        <is>
          <t>入仓单</t>
        </is>
      </c>
      <c r="B283" t="inlineStr">
        <is>
          <t>明细</t>
        </is>
      </c>
      <c r="C283" t="inlineStr">
        <is>
          <t>提单号</t>
        </is>
      </c>
      <c r="D283" t="inlineStr">
        <is>
          <t>提单号</t>
        </is>
      </c>
      <c r="E283" t="inlineStr">
        <is>
          <t>否</t>
        </is>
      </c>
    </row>
    <row r="284">
      <c r="A284" t="inlineStr">
        <is>
          <t>入仓单</t>
        </is>
      </c>
      <c r="B284" t="inlineStr">
        <is>
          <t>明细</t>
        </is>
      </c>
      <c r="C284" t="inlineStr">
        <is>
          <t>船名/航号</t>
        </is>
      </c>
      <c r="D284" t="inlineStr">
        <is>
          <t>船名/航号</t>
        </is>
      </c>
      <c r="E284" t="inlineStr">
        <is>
          <t>否</t>
        </is>
      </c>
    </row>
    <row r="285">
      <c r="A285" t="inlineStr">
        <is>
          <t>入仓单</t>
        </is>
      </c>
      <c r="B285" t="inlineStr">
        <is>
          <t>明细</t>
        </is>
      </c>
      <c r="C285" t="inlineStr">
        <is>
          <t>毛重</t>
        </is>
      </c>
      <c r="D285" t="inlineStr">
        <is>
          <t>毛重</t>
        </is>
      </c>
      <c r="E285" t="inlineStr">
        <is>
          <t>否</t>
        </is>
      </c>
    </row>
    <row r="286">
      <c r="A286" t="inlineStr">
        <is>
          <t>入仓单</t>
        </is>
      </c>
      <c r="B286" t="inlineStr">
        <is>
          <t>明细</t>
        </is>
      </c>
      <c r="C286" t="inlineStr">
        <is>
          <t>净重</t>
        </is>
      </c>
      <c r="D286" t="inlineStr">
        <is>
          <t>净重</t>
        </is>
      </c>
      <c r="E286" t="inlineStr">
        <is>
          <t>否</t>
        </is>
      </c>
    </row>
    <row r="287">
      <c r="A287" t="inlineStr">
        <is>
          <t>入仓单</t>
        </is>
      </c>
      <c r="B287" t="inlineStr">
        <is>
          <t>明细</t>
        </is>
      </c>
      <c r="C287" t="inlineStr">
        <is>
          <t>长</t>
        </is>
      </c>
      <c r="D287" t="inlineStr">
        <is>
          <t>长</t>
        </is>
      </c>
      <c r="E287" t="inlineStr">
        <is>
          <t>否</t>
        </is>
      </c>
    </row>
    <row r="288">
      <c r="A288" t="inlineStr">
        <is>
          <t>入仓单</t>
        </is>
      </c>
      <c r="B288" t="inlineStr">
        <is>
          <t>明细</t>
        </is>
      </c>
      <c r="C288" t="inlineStr">
        <is>
          <t>宽</t>
        </is>
      </c>
      <c r="D288" t="inlineStr">
        <is>
          <t>宽</t>
        </is>
      </c>
      <c r="E288" t="inlineStr">
        <is>
          <t>否</t>
        </is>
      </c>
    </row>
    <row r="289">
      <c r="A289" t="inlineStr">
        <is>
          <t>入仓单</t>
        </is>
      </c>
      <c r="B289" t="inlineStr">
        <is>
          <t>明细</t>
        </is>
      </c>
      <c r="C289" t="inlineStr">
        <is>
          <t>高</t>
        </is>
      </c>
      <c r="D289" t="inlineStr">
        <is>
          <t>高</t>
        </is>
      </c>
      <c r="E289" t="inlineStr">
        <is>
          <t>否</t>
        </is>
      </c>
    </row>
    <row r="290">
      <c r="A290" t="inlineStr">
        <is>
          <t>入仓单</t>
        </is>
      </c>
      <c r="B290" t="inlineStr">
        <is>
          <t>明细</t>
        </is>
      </c>
      <c r="C290" t="inlineStr">
        <is>
          <t>体积</t>
        </is>
      </c>
      <c r="D290" t="inlineStr">
        <is>
          <t>体积</t>
        </is>
      </c>
      <c r="E290" t="inlineStr">
        <is>
          <t>否</t>
        </is>
      </c>
    </row>
    <row r="291">
      <c r="A291" t="inlineStr">
        <is>
          <t>入仓单</t>
        </is>
      </c>
      <c r="B291" t="inlineStr">
        <is>
          <t>明细</t>
        </is>
      </c>
      <c r="C291" t="inlineStr">
        <is>
          <t>PO单号</t>
        </is>
      </c>
      <c r="D291" t="inlineStr">
        <is>
          <t>PO单号</t>
        </is>
      </c>
      <c r="E291" t="inlineStr">
        <is>
          <t>否</t>
        </is>
      </c>
    </row>
    <row r="292">
      <c r="A292" t="inlineStr">
        <is>
          <t>入仓单</t>
        </is>
      </c>
      <c r="B292" t="inlineStr">
        <is>
          <t>明细</t>
        </is>
      </c>
      <c r="C292" t="inlineStr">
        <is>
          <t>含税单价</t>
        </is>
      </c>
      <c r="D292" t="inlineStr">
        <is>
          <t>含税单价</t>
        </is>
      </c>
      <c r="E292" t="inlineStr">
        <is>
          <t>否</t>
        </is>
      </c>
    </row>
    <row r="293">
      <c r="A293" t="inlineStr">
        <is>
          <t>入仓单</t>
        </is>
      </c>
      <c r="B293" t="inlineStr">
        <is>
          <t>明细</t>
        </is>
      </c>
      <c r="C293" t="inlineStr">
        <is>
          <t>特殊申报</t>
        </is>
      </c>
      <c r="D293" t="inlineStr">
        <is>
          <t>特殊申报</t>
        </is>
      </c>
      <c r="E293" t="inlineStr">
        <is>
          <t>否</t>
        </is>
      </c>
    </row>
    <row r="294">
      <c r="A294" t="inlineStr">
        <is>
          <t>入仓单</t>
        </is>
      </c>
      <c r="B294" t="inlineStr">
        <is>
          <t>明细</t>
        </is>
      </c>
      <c r="C294" t="inlineStr">
        <is>
          <t>包件件数</t>
        </is>
      </c>
      <c r="D294" t="inlineStr">
        <is>
          <t>包件件数</t>
        </is>
      </c>
      <c r="E294" t="inlineStr">
        <is>
          <t>否</t>
        </is>
      </c>
    </row>
    <row r="295">
      <c r="A295" t="inlineStr">
        <is>
          <t>入仓单</t>
        </is>
      </c>
      <c r="B295" t="inlineStr">
        <is>
          <t>明细</t>
        </is>
      </c>
      <c r="C295" t="inlineStr">
        <is>
          <t>询价名称</t>
        </is>
      </c>
      <c r="D295" t="inlineStr">
        <is>
          <t>询价名称</t>
        </is>
      </c>
      <c r="E295" t="inlineStr">
        <is>
          <t>否</t>
        </is>
      </c>
    </row>
    <row r="296">
      <c r="A296" t="inlineStr">
        <is>
          <t>入仓单</t>
        </is>
      </c>
      <c r="B296" t="inlineStr">
        <is>
          <t>明细</t>
        </is>
      </c>
      <c r="C296" t="inlineStr">
        <is>
          <t>询价型号</t>
        </is>
      </c>
      <c r="D296" t="inlineStr">
        <is>
          <t>询价型号</t>
        </is>
      </c>
      <c r="E296" t="inlineStr">
        <is>
          <t>否</t>
        </is>
      </c>
    </row>
    <row r="297">
      <c r="A297" t="inlineStr">
        <is>
          <t>入仓单</t>
        </is>
      </c>
      <c r="B297" t="inlineStr">
        <is>
          <t>明细</t>
        </is>
      </c>
      <c r="C297" t="inlineStr">
        <is>
          <t>询价数量</t>
        </is>
      </c>
      <c r="D297" t="inlineStr">
        <is>
          <t>询价数量</t>
        </is>
      </c>
      <c r="E297" t="inlineStr">
        <is>
          <t>否</t>
        </is>
      </c>
    </row>
    <row r="298">
      <c r="A298" t="inlineStr">
        <is>
          <t>入仓单</t>
        </is>
      </c>
      <c r="B298" t="inlineStr">
        <is>
          <t>明细</t>
        </is>
      </c>
      <c r="C298" t="inlineStr">
        <is>
          <t>出发港</t>
        </is>
      </c>
      <c r="D298" t="inlineStr">
        <is>
          <t>出发港</t>
        </is>
      </c>
      <c r="E298" t="inlineStr">
        <is>
          <t>否</t>
        </is>
      </c>
      <c r="G298" t="inlineStr">
        <is>
          <t>出发港口</t>
        </is>
      </c>
    </row>
    <row r="299">
      <c r="A299" t="inlineStr">
        <is>
          <t>入仓单</t>
        </is>
      </c>
      <c r="B299" t="inlineStr">
        <is>
          <t>明细</t>
        </is>
      </c>
      <c r="C299" t="inlineStr">
        <is>
          <t>目的港</t>
        </is>
      </c>
      <c r="D299" t="inlineStr">
        <is>
          <t>目的港</t>
        </is>
      </c>
      <c r="E299" t="inlineStr">
        <is>
          <t>否</t>
        </is>
      </c>
    </row>
    <row r="300">
      <c r="A300" t="inlineStr">
        <is>
          <t>入仓单</t>
        </is>
      </c>
      <c r="B300" t="inlineStr">
        <is>
          <t>明细</t>
        </is>
      </c>
      <c r="C300" t="inlineStr">
        <is>
          <t>收货人</t>
        </is>
      </c>
      <c r="D300" t="inlineStr">
        <is>
          <t>收货人</t>
        </is>
      </c>
      <c r="E300" t="inlineStr">
        <is>
          <t>否</t>
        </is>
      </c>
    </row>
    <row r="301">
      <c r="A301" t="inlineStr">
        <is>
          <t>入仓单</t>
        </is>
      </c>
      <c r="B301" t="inlineStr">
        <is>
          <t>明细</t>
        </is>
      </c>
      <c r="C301" t="inlineStr">
        <is>
          <t>付款条款</t>
        </is>
      </c>
      <c r="D301" t="inlineStr">
        <is>
          <t>付款条款</t>
        </is>
      </c>
      <c r="E301" t="inlineStr">
        <is>
          <t>否</t>
        </is>
      </c>
    </row>
    <row r="302">
      <c r="A302" t="inlineStr">
        <is>
          <t>入仓单</t>
        </is>
      </c>
      <c r="B302" t="inlineStr">
        <is>
          <t>明细</t>
        </is>
      </c>
      <c r="C302" t="inlineStr">
        <is>
          <t>HS Code</t>
        </is>
      </c>
      <c r="D302" t="inlineStr">
        <is>
          <t>HS Code</t>
        </is>
      </c>
      <c r="E302" t="inlineStr">
        <is>
          <t>否</t>
        </is>
      </c>
      <c r="G302" t="inlineStr">
        <is>
          <t>HSCODE</t>
        </is>
      </c>
    </row>
    <row r="303">
      <c r="A303" t="inlineStr">
        <is>
          <t>入仓单</t>
        </is>
      </c>
      <c r="B303" t="inlineStr">
        <is>
          <t>明细</t>
        </is>
      </c>
      <c r="C303" t="inlineStr">
        <is>
          <t>申报要素</t>
        </is>
      </c>
      <c r="D303" t="inlineStr">
        <is>
          <t>申报要素</t>
        </is>
      </c>
      <c r="E303" t="inlineStr">
        <is>
          <t>否</t>
        </is>
      </c>
    </row>
    <row r="304">
      <c r="A304" t="inlineStr">
        <is>
          <t>入仓单</t>
        </is>
      </c>
      <c r="B304" t="inlineStr">
        <is>
          <t>明细</t>
        </is>
      </c>
      <c r="C304" t="inlineStr">
        <is>
          <t>备注</t>
        </is>
      </c>
      <c r="D304" t="inlineStr">
        <is>
          <t>备注</t>
        </is>
      </c>
      <c r="E304" t="inlineStr">
        <is>
          <t>否</t>
        </is>
      </c>
    </row>
  </sheetData>
  <pageMargins left="0.75" right="0.75" top="1" bottom="1" header="0.5" footer="0.5"/>
</worksheet>
</file>

<file path=xl/worksheets/sheet27.xml><?xml version="1.0" encoding="utf-8"?>
<worksheet xmlns="http://schemas.openxmlformats.org/spreadsheetml/2006/main">
  <sheetPr>
    <tabColor rgb="001F4E78"/>
    <outlinePr summaryBelow="1" summaryRight="1"/>
    <pageSetUpPr/>
  </sheetPr>
  <dimension ref="A1:M22"/>
  <sheetViews>
    <sheetView showGridLines="0" workbookViewId="0">
      <pane ySplit="1" topLeftCell="A2" activePane="bottomLeft" state="frozen"/>
      <selection pane="bottomLeft" activeCell="A1" sqref="A1"/>
    </sheetView>
  </sheetViews>
  <sheetFormatPr baseColWidth="8" defaultRowHeight="15"/>
  <cols>
    <col width="6" customWidth="1" min="1" max="1"/>
    <col width="10" customWidth="1" min="2" max="2"/>
    <col width="18" customWidth="1" min="3" max="3"/>
    <col width="18" customWidth="1" min="4" max="4"/>
    <col width="9" customWidth="1" min="5" max="5"/>
    <col width="42" customWidth="1" min="6" max="6"/>
    <col width="32" customWidth="1" min="7" max="7"/>
    <col width="34" customWidth="1" min="8" max="8"/>
    <col width="38" customWidth="1" min="9" max="9"/>
    <col width="34" customWidth="1" min="10" max="10"/>
    <col width="40" customWidth="1" min="11" max="11"/>
    <col width="38" customWidth="1" min="12" max="12"/>
    <col width="52" customWidth="1" min="13" max="13"/>
  </cols>
  <sheetData>
    <row r="1" ht="30" customHeight="1">
      <c r="A1" s="77" t="inlineStr">
        <is>
          <t>序号</t>
        </is>
      </c>
      <c r="B1" s="77" t="inlineStr">
        <is>
          <t>模块</t>
        </is>
      </c>
      <c r="C1" s="77" t="inlineStr">
        <is>
          <t>表单/页面</t>
        </is>
      </c>
      <c r="D1" s="77" t="inlineStr">
        <is>
          <t>主表</t>
        </is>
      </c>
      <c r="E1" s="77" t="inlineStr">
        <is>
          <t>数据量</t>
        </is>
      </c>
      <c r="F1" s="77" t="inlineStr">
        <is>
          <t>查询接口</t>
        </is>
      </c>
      <c r="G1" s="77" t="inlineStr">
        <is>
          <t>详情接口</t>
        </is>
      </c>
      <c r="H1" s="77" t="inlineStr">
        <is>
          <t>新增接口</t>
        </is>
      </c>
      <c r="I1" s="77" t="inlineStr">
        <is>
          <t>修改接口</t>
        </is>
      </c>
      <c r="J1" s="77" t="inlineStr">
        <is>
          <t>删除接口</t>
        </is>
      </c>
      <c r="K1" s="77" t="inlineStr">
        <is>
          <t>导入接口</t>
        </is>
      </c>
      <c r="L1" s="77" t="inlineStr">
        <is>
          <t>导出/打印</t>
        </is>
      </c>
      <c r="M1" s="77" t="inlineStr">
        <is>
          <t>关键字段/说明</t>
        </is>
      </c>
    </row>
    <row r="2" ht="78" customHeight="1">
      <c r="A2" s="78" t="n">
        <v>1</v>
      </c>
      <c r="B2" s="78" t="inlineStr">
        <is>
          <t>商务信息</t>
        </is>
      </c>
      <c r="C2" s="78" t="inlineStr">
        <is>
          <t>客商</t>
        </is>
      </c>
      <c r="D2" s="78" t="inlineStr">
        <is>
          <t>party</t>
        </is>
      </c>
      <c r="E2" s="78" t="n">
        <v>88</v>
      </c>
      <c r="F2" s="78" t="inlineStr">
        <is>
          <t>GET /api/parties
参数 type=supplier|customer、status、keyword、page、pageSize</t>
        </is>
      </c>
      <c r="G2" s="78" t="inlineStr">
        <is>
          <t>GET /api/parties/{party_id}</t>
        </is>
      </c>
      <c r="H2" s="78" t="inlineStr">
        <is>
          <t>POST /api/parties</t>
        </is>
      </c>
      <c r="I2" s="78" t="inlineStr">
        <is>
          <t>PUT /api/parties/{party_id}</t>
        </is>
      </c>
      <c r="J2" s="78" t="inlineStr">
        <is>
          <t>DELETE /api/parties/{party_id}?version=</t>
        </is>
      </c>
      <c r="K2" s="78" t="inlineStr">
        <is>
          <t>POST /api/import/party/parse|execute
模板 GET /api/import/party/template</t>
        </is>
      </c>
      <c r="L2" s="78" t="inlineStr">
        <is>
          <t>GET/POST /api/export/party?type=supplier|customer</t>
        </is>
      </c>
      <c r="M2" s="78" t="inlineStr">
        <is>
          <t>type 保存后不可改；contacts 子表随主表提交；改名可调 sync-name(s)</t>
        </is>
      </c>
    </row>
    <row r="3" ht="78" customHeight="1">
      <c r="A3" s="78" t="n">
        <v>2</v>
      </c>
      <c r="B3" s="78" t="inlineStr">
        <is>
          <t>商务信息</t>
        </is>
      </c>
      <c r="C3" s="78" t="inlineStr">
        <is>
          <t>项目</t>
        </is>
      </c>
      <c r="D3" s="78" t="inlineStr">
        <is>
          <t>project</t>
        </is>
      </c>
      <c r="E3" s="78" t="n">
        <v>1</v>
      </c>
      <c r="F3" s="78" t="inlineStr">
        <is>
          <t>GET /api/projects
参数 keyword、project_type、source、year、status、customer_name、start_date、end_date</t>
        </is>
      </c>
      <c r="G3" s="78" t="inlineStr">
        <is>
          <t>GET 列表即可（无独立详情接口）</t>
        </is>
      </c>
      <c r="H3" s="78" t="inlineStr">
        <is>
          <t>POST /api/projects</t>
        </is>
      </c>
      <c r="I3" s="78" t="inlineStr">
        <is>
          <t>PUT /api/projects/{row_id}</t>
        </is>
      </c>
      <c r="J3" s="78" t="inlineStr">
        <is>
          <t>DELETE /api/projects/{row_id}?version=</t>
        </is>
      </c>
      <c r="K3" s="78" t="inlineStr">
        <is>
          <t>无导入</t>
        </is>
      </c>
      <c r="L3" s="78" t="inlineStr">
        <is>
          <t>GET/POST /api/export/project</t>
        </is>
      </c>
      <c r="M3" s="78" t="inlineStr">
        <is>
          <t>项目客户名称是自由文本</t>
        </is>
      </c>
    </row>
    <row r="4" ht="78" customHeight="1">
      <c r="A4" s="78" t="n">
        <v>3</v>
      </c>
      <c r="B4" s="78" t="inlineStr">
        <is>
          <t>采购计划</t>
        </is>
      </c>
      <c r="C4" s="78" t="inlineStr">
        <is>
          <t>采购计划</t>
        </is>
      </c>
      <c r="D4" s="78" t="inlineStr">
        <is>
          <t>purchase_plan</t>
        </is>
      </c>
      <c r="E4" s="78" t="n">
        <v>131</v>
      </c>
      <c r="F4" s="78" t="inlineStr">
        <is>
          <t>GET /api/purchase-plans
参数 keyword、plan_month、name_cn、purchase_state</t>
        </is>
      </c>
      <c r="G4" s="78" t="inlineStr">
        <is>
          <t>无独立详情接口</t>
        </is>
      </c>
      <c r="H4" s="78" t="inlineStr">
        <is>
          <t>无新增接口（Excel 导入）</t>
        </is>
      </c>
      <c r="I4" s="78" t="inlineStr">
        <is>
          <t>PUT /api/purchase-plans/{row_id}</t>
        </is>
      </c>
      <c r="J4" s="78" t="inlineStr">
        <is>
          <t>DELETE /api/purchase-plans/{row_id}?version=</t>
        </is>
      </c>
      <c r="K4" s="78" t="inlineStr">
        <is>
          <t>POST /api/import/purchase-plan/parse|execute
模式 update/replace/append</t>
        </is>
      </c>
      <c r="L4" s="78" t="inlineStr">
        <is>
          <t>GET/POST /api/export/purchase-plan</t>
        </is>
      </c>
      <c r="M4" s="78" t="inlineStr">
        <is>
          <t>物料编号不可改；数量不能小于已采购数量</t>
        </is>
      </c>
    </row>
    <row r="5" ht="78" customHeight="1">
      <c r="A5" s="78" t="n">
        <v>4</v>
      </c>
      <c r="B5" s="78" t="inlineStr">
        <is>
          <t>合同</t>
        </is>
      </c>
      <c r="C5" s="78" t="inlineStr">
        <is>
          <t>采购合同</t>
        </is>
      </c>
      <c r="D5" s="78" t="inlineStr">
        <is>
          <t>contract</t>
        </is>
      </c>
      <c r="E5" s="78" t="n">
        <v>11</v>
      </c>
      <c r="F5" s="78" t="inlineStr">
        <is>
          <t>GET /api/contracts?direction=purchase
参数 status、party_id、project_id、pay_status 等</t>
        </is>
      </c>
      <c r="G5" s="78" t="inlineStr">
        <is>
          <t>GET /api/contracts/{contract_id}</t>
        </is>
      </c>
      <c r="H5" s="78" t="inlineStr">
        <is>
          <t>POST /api/contracts</t>
        </is>
      </c>
      <c r="I5" s="78" t="inlineStr">
        <is>
          <t>PUT /api/contracts/{contract_id}</t>
        </is>
      </c>
      <c r="J5" s="78" t="inlineStr">
        <is>
          <t>DELETE /api/contracts/{contract_id}?version=</t>
        </is>
      </c>
      <c r="K5" s="78" t="inlineStr">
        <is>
          <t>POST /api/import/contract/parse|execute?direction=purchase</t>
        </is>
      </c>
      <c r="L5" s="78" t="inlineStr">
        <is>
          <t>GET/POST /api/export/contract?direction=purchase
Word GET /api/contracts/{id}/word</t>
        </is>
      </c>
      <c r="M5" s="78" t="inlineStr">
        <is>
          <t>items/stages 内嵌在合同 payload；金额、已收付由服务端计算</t>
        </is>
      </c>
    </row>
    <row r="6" ht="78" customHeight="1">
      <c r="A6" s="78" t="n">
        <v>5</v>
      </c>
      <c r="B6" s="78" t="inlineStr">
        <is>
          <t>仓储</t>
        </is>
      </c>
      <c r="C6" s="78" t="inlineStr">
        <is>
          <t>采购入库</t>
        </is>
      </c>
      <c r="D6" s="78" t="inlineStr">
        <is>
          <t>wms_bill</t>
        </is>
      </c>
      <c r="E6" s="78" t="n">
        <v>4</v>
      </c>
      <c r="F6" s="78" t="inlineStr">
        <is>
          <t>GET /api/wms-bills?type=inbound
参数 contract_id、keyword</t>
        </is>
      </c>
      <c r="G6" s="78" t="inlineStr">
        <is>
          <t>GET /api/wms-bills/{bill_id}</t>
        </is>
      </c>
      <c r="H6" s="78" t="inlineStr">
        <is>
          <t>POST /api/wms-bills</t>
        </is>
      </c>
      <c r="I6" s="78" t="inlineStr">
        <is>
          <t>PUT /api/wms-bills/{bill_id}</t>
        </is>
      </c>
      <c r="J6" s="78" t="inlineStr">
        <is>
          <t>DELETE /api/wms-bills/{bill_id}?version=</t>
        </is>
      </c>
      <c r="K6" s="78" t="inlineStr">
        <is>
          <t>无通用导入（可走入仓单）</t>
        </is>
      </c>
      <c r="L6" s="78" t="inlineStr">
        <is>
          <t>GET/POST /api/export/wms?type=inbound</t>
        </is>
      </c>
      <c r="M6" s="78" t="inlineStr">
        <is>
          <t>items 内嵌；保存后整单重算库存</t>
        </is>
      </c>
    </row>
    <row r="7" ht="78" customHeight="1">
      <c r="A7" s="78" t="n">
        <v>6</v>
      </c>
      <c r="B7" s="78" t="inlineStr">
        <is>
          <t>仓储</t>
        </is>
      </c>
      <c r="C7" s="78" t="inlineStr">
        <is>
          <t>库存余额</t>
        </is>
      </c>
      <c r="D7" s="78" t="inlineStr">
        <is>
          <t>stock</t>
        </is>
      </c>
      <c r="E7" s="78" t="n">
        <v>4</v>
      </c>
      <c r="F7" s="78" t="inlineStr">
        <is>
          <t>GET /api/stocks
参数 keyword、warehouse_id</t>
        </is>
      </c>
      <c r="G7" s="78" t="inlineStr">
        <is>
          <t>无</t>
        </is>
      </c>
      <c r="H7" s="78" t="inlineStr">
        <is>
          <t>无（由出入库重算）</t>
        </is>
      </c>
      <c r="I7" s="78" t="inlineStr">
        <is>
          <t>无</t>
        </is>
      </c>
      <c r="J7" s="78" t="inlineStr">
        <is>
          <t>DELETE /api/stocks/{row_id}?version=（仅数量为 0）</t>
        </is>
      </c>
      <c r="K7" s="78" t="inlineStr">
        <is>
          <t>无</t>
        </is>
      </c>
      <c r="L7" s="78" t="inlineStr">
        <is>
          <t>GET/POST /api/export/stock</t>
        </is>
      </c>
      <c r="M7" s="78" t="inlineStr">
        <is>
          <t>只读派生表，不允许直接改数量</t>
        </is>
      </c>
    </row>
    <row r="8" ht="78" customHeight="1">
      <c r="A8" s="78" t="n">
        <v>7</v>
      </c>
      <c r="B8" s="78" t="inlineStr">
        <is>
          <t>结算</t>
        </is>
      </c>
      <c r="C8" s="78" t="inlineStr">
        <is>
          <t>付款单</t>
        </is>
      </c>
      <c r="D8" s="78" t="inlineStr">
        <is>
          <t>settle_bill</t>
        </is>
      </c>
      <c r="E8" s="78" t="n">
        <v>11</v>
      </c>
      <c r="F8" s="78" t="inlineStr">
        <is>
          <t>GET /api/settle-bills?direction=payment
参数 party_id、contract_id</t>
        </is>
      </c>
      <c r="G8" s="78" t="inlineStr">
        <is>
          <t>无独立详情接口</t>
        </is>
      </c>
      <c r="H8" s="78" t="inlineStr">
        <is>
          <t>POST /api/settle-bills/multi-stage</t>
        </is>
      </c>
      <c r="I8" s="78" t="inlineStr">
        <is>
          <t>PUT /api/settle-bills/{bill_id}</t>
        </is>
      </c>
      <c r="J8" s="78" t="inlineStr">
        <is>
          <t>DELETE /api/settle-bills/{bill_id}?version=</t>
        </is>
      </c>
      <c r="K8" s="78" t="inlineStr">
        <is>
          <t>POST /api/import/settle/parse|execute?direction=payment</t>
        </is>
      </c>
      <c r="L8" s="78" t="inlineStr">
        <is>
          <t>GET/POST /api/export/settle?direction=payment</t>
        </is>
      </c>
      <c r="M8" s="78" t="inlineStr">
        <is>
          <t>按合同阶段付款；保存后回写阶段与合同已付</t>
        </is>
      </c>
    </row>
    <row r="9" ht="78" customHeight="1">
      <c r="A9" s="78" t="n">
        <v>8</v>
      </c>
      <c r="B9" s="78" t="inlineStr">
        <is>
          <t>发票</t>
        </is>
      </c>
      <c r="C9" s="78" t="inlineStr">
        <is>
          <t>进项发票</t>
        </is>
      </c>
      <c r="D9" s="78" t="inlineStr">
        <is>
          <t>invoice</t>
        </is>
      </c>
      <c r="E9" s="78" t="n">
        <v>11</v>
      </c>
      <c r="F9" s="78" t="inlineStr">
        <is>
          <t>GET /api/invoices?direction=input
参数 keyword、party_id、project_id、invoice_type</t>
        </is>
      </c>
      <c r="G9" s="78" t="inlineStr">
        <is>
          <t>GET /api/invoices/{invoice_id}</t>
        </is>
      </c>
      <c r="H9" s="78" t="inlineStr">
        <is>
          <t>POST /api/invoices</t>
        </is>
      </c>
      <c r="I9" s="78" t="inlineStr">
        <is>
          <t>PUT /api/invoices/{invoice_id}</t>
        </is>
      </c>
      <c r="J9" s="78" t="inlineStr">
        <is>
          <t>DELETE /api/invoices/{invoice_id}?version=</t>
        </is>
      </c>
      <c r="K9" s="78" t="inlineStr">
        <is>
          <t>POST /api/import/invoice/parse|execute?direction=input</t>
        </is>
      </c>
      <c r="L9" s="78" t="inlineStr">
        <is>
          <t>GET/POST /api/export/invoice?direction=input
Word GET /api/forms/input_invoice/{id}/word</t>
        </is>
      </c>
      <c r="M9" s="78" t="inlineStr">
        <is>
          <t>items 内嵌；数量与金额双层校验；发票号唯一</t>
        </is>
      </c>
    </row>
    <row r="10" ht="78" customHeight="1">
      <c r="A10" s="78" t="n">
        <v>9</v>
      </c>
      <c r="B10" s="78" t="inlineStr">
        <is>
          <t>报关</t>
        </is>
      </c>
      <c r="C10" s="78" t="inlineStr">
        <is>
          <t>报关物料</t>
        </is>
      </c>
      <c r="D10" s="78" t="inlineStr">
        <is>
          <t>customs_material</t>
        </is>
      </c>
      <c r="E10" s="78" t="n">
        <v>4</v>
      </c>
      <c r="F10" s="78" t="inlineStr">
        <is>
          <t>GET /api/customs/materials
参数 contract_no、packing_list_no、material_code、receipt_no、supplier_name、equipment</t>
        </is>
      </c>
      <c r="G10" s="78" t="inlineStr">
        <is>
          <t>GET /api/customs/materials/{material_id}</t>
        </is>
      </c>
      <c r="H10" s="78" t="inlineStr">
        <is>
          <t>POST /api/customs/materials</t>
        </is>
      </c>
      <c r="I10" s="78" t="inlineStr">
        <is>
          <t>PUT /api/customs/materials/{material_id}</t>
        </is>
      </c>
      <c r="J10" s="78" t="inlineStr">
        <is>
          <t>DELETE /api/customs/materials/{material_id}?version=</t>
        </is>
      </c>
      <c r="K10" s="78" t="inlineStr">
        <is>
          <t>POST /api/import/customs-material-fill/parse|execute</t>
        </is>
      </c>
      <c r="L10" s="78" t="inlineStr">
        <is>
          <t>GET/POST /api/export/customs-material</t>
        </is>
      </c>
      <c r="M10" s="78" t="inlineStr">
        <is>
          <t>批量赋值 POST /api/customs/materials/batch-assign；被发票/要素引用时不可删</t>
        </is>
      </c>
    </row>
    <row r="11" ht="78" customHeight="1">
      <c r="A11" s="78" t="n">
        <v>10</v>
      </c>
      <c r="B11" s="78" t="inlineStr">
        <is>
          <t>编号</t>
        </is>
      </c>
      <c r="C11" s="78" t="inlineStr">
        <is>
          <t>合同编号</t>
        </is>
      </c>
      <c r="D11" s="78" t="inlineStr">
        <is>
          <t>number_contract</t>
        </is>
      </c>
      <c r="E11" s="78" t="n">
        <v>112</v>
      </c>
      <c r="F11" s="78" t="inlineStr">
        <is>
          <t>GET /api/numbering/contracts
参数 keyword、business_type、number_year、order</t>
        </is>
      </c>
      <c r="G11" s="78" t="inlineStr">
        <is>
          <t>GET /api/numbering/contracts/{row_id}</t>
        </is>
      </c>
      <c r="H11" s="78" t="inlineStr">
        <is>
          <t>POST /api/numbering/contracts</t>
        </is>
      </c>
      <c r="I11" s="78" t="inlineStr">
        <is>
          <t>PUT /api/numbering/contracts/{row_id}</t>
        </is>
      </c>
      <c r="J11" s="78" t="inlineStr">
        <is>
          <t>DELETE /api/numbering/contracts/{row_id}?version=</t>
        </is>
      </c>
      <c r="K11" s="78" t="inlineStr">
        <is>
          <t>POST /api/import/number-contract/parse|execute</t>
        </is>
      </c>
      <c r="L11" s="78" t="inlineStr">
        <is>
          <t>GET/POST /api/export/contract（编号页面用编号导出/导入）</t>
        </is>
      </c>
      <c r="M11" s="78" t="inlineStr">
        <is>
          <t>手工改号 POST /{id}/manual；顺序号下限 PUT /api/numbering/floors</t>
        </is>
      </c>
    </row>
    <row r="12" ht="78" customHeight="1">
      <c r="A12" s="78" t="n">
        <v>11</v>
      </c>
      <c r="B12" s="78" t="inlineStr">
        <is>
          <t>编号</t>
        </is>
      </c>
      <c r="C12" s="78" t="inlineStr">
        <is>
          <t>发票编号</t>
        </is>
      </c>
      <c r="D12" s="78" t="inlineStr">
        <is>
          <t>number_invoice</t>
        </is>
      </c>
      <c r="E12" s="78" t="n">
        <v>9</v>
      </c>
      <c r="F12" s="78" t="inlineStr">
        <is>
          <t>GET /api/numbering/invoices
参数 keyword、number_rule、number_year、order</t>
        </is>
      </c>
      <c r="G12" s="78" t="inlineStr">
        <is>
          <t>GET /api/numbering/invoices/{row_id}</t>
        </is>
      </c>
      <c r="H12" s="78" t="inlineStr">
        <is>
          <t>POST /api/numbering/invoices</t>
        </is>
      </c>
      <c r="I12" s="78" t="inlineStr">
        <is>
          <t>PUT /api/numbering/invoices/{row_id}</t>
        </is>
      </c>
      <c r="J12" s="78" t="inlineStr">
        <is>
          <t>DELETE /api/numbering/invoices/{row_id}?version=</t>
        </is>
      </c>
      <c r="K12" s="78" t="inlineStr">
        <is>
          <t>POST /api/import/number-invoice/parse|execute</t>
        </is>
      </c>
      <c r="L12" s="78" t="inlineStr">
        <is>
          <t>编号导出/导入</t>
        </is>
      </c>
      <c r="M12" s="78" t="inlineStr">
        <is>
          <t>登记人字段 operator_name；手工改号 POST /{id}/manual</t>
        </is>
      </c>
    </row>
    <row r="13" ht="78" customHeight="1">
      <c r="A13" s="78" t="n">
        <v>12</v>
      </c>
      <c r="B13" s="78" t="inlineStr">
        <is>
          <t>基础资料</t>
        </is>
      </c>
      <c r="C13" s="78" t="inlineStr">
        <is>
          <t>公司</t>
        </is>
      </c>
      <c r="D13" s="78" t="inlineStr">
        <is>
          <t>company</t>
        </is>
      </c>
      <c r="E13" s="78" t="n">
        <v>1</v>
      </c>
      <c r="F13" s="78" t="inlineStr">
        <is>
          <t>GET /api/companies</t>
        </is>
      </c>
      <c r="G13" s="78" t="inlineStr">
        <is>
          <t>无</t>
        </is>
      </c>
      <c r="H13" s="78" t="inlineStr">
        <is>
          <t>POST /api/companies</t>
        </is>
      </c>
      <c r="I13" s="78" t="inlineStr">
        <is>
          <t>PUT /api/companies/{row_id}</t>
        </is>
      </c>
      <c r="J13" s="78" t="inlineStr">
        <is>
          <t>DELETE /api/companies/{row_id}?version=</t>
        </is>
      </c>
      <c r="K13" s="78" t="inlineStr">
        <is>
          <t>无</t>
        </is>
      </c>
      <c r="L13" s="78" t="inlineStr">
        <is>
          <t>无</t>
        </is>
      </c>
      <c r="M13" s="78" t="inlineStr">
        <is>
          <t>改简称即改顶栏</t>
        </is>
      </c>
    </row>
    <row r="14" ht="78" customHeight="1">
      <c r="A14" s="78" t="n">
        <v>13</v>
      </c>
      <c r="B14" s="78" t="inlineStr">
        <is>
          <t>基础资料</t>
        </is>
      </c>
      <c r="C14" s="78" t="inlineStr">
        <is>
          <t>仓库</t>
        </is>
      </c>
      <c r="D14" s="78" t="inlineStr">
        <is>
          <t>warehouse</t>
        </is>
      </c>
      <c r="E14" s="78" t="n">
        <v>1</v>
      </c>
      <c r="F14" s="78" t="inlineStr">
        <is>
          <t>GET /api/warehouses</t>
        </is>
      </c>
      <c r="G14" s="78" t="inlineStr">
        <is>
          <t>无</t>
        </is>
      </c>
      <c r="H14" s="78" t="inlineStr">
        <is>
          <t>POST /api/warehouses</t>
        </is>
      </c>
      <c r="I14" s="78" t="inlineStr">
        <is>
          <t>PUT /api/warehouses/{row_id}</t>
        </is>
      </c>
      <c r="J14" s="78" t="inlineStr">
        <is>
          <t>DELETE /api/warehouses/{row_id}?version=</t>
        </is>
      </c>
      <c r="K14" s="78" t="inlineStr">
        <is>
          <t>无</t>
        </is>
      </c>
      <c r="L14" s="78" t="inlineStr">
        <is>
          <t>GET/POST /api/export/warehouses</t>
        </is>
      </c>
      <c r="M14" s="78" t="inlineStr">
        <is>
          <t>库存不为零或存在有效单据时不能停用/删除</t>
        </is>
      </c>
    </row>
    <row r="15" ht="78" customHeight="1">
      <c r="A15" s="78" t="n">
        <v>14</v>
      </c>
      <c r="B15" s="78" t="inlineStr">
        <is>
          <t>基础资料</t>
        </is>
      </c>
      <c r="C15" s="78" t="inlineStr">
        <is>
          <t>HS Code库</t>
        </is>
      </c>
      <c r="D15" s="78" t="inlineStr">
        <is>
          <t>hs_code_library</t>
        </is>
      </c>
      <c r="E15" s="78" t="n">
        <v>63</v>
      </c>
      <c r="F15" s="78" t="inlineStr">
        <is>
          <t>GET /api/customs/hs</t>
        </is>
      </c>
      <c r="G15" s="78" t="inlineStr">
        <is>
          <t>无</t>
        </is>
      </c>
      <c r="H15" s="78" t="inlineStr">
        <is>
          <t>POST /api/customs/hs</t>
        </is>
      </c>
      <c r="I15" s="78" t="inlineStr">
        <is>
          <t>PUT /api/customs/hs/{hs_id}</t>
        </is>
      </c>
      <c r="J15" s="78" t="inlineStr">
        <is>
          <t>DELETE /api/customs/hs/{hs_id}?version=</t>
        </is>
      </c>
      <c r="K15" s="78" t="inlineStr">
        <is>
          <t>POST /api/import/hs-code/parse|execute</t>
        </is>
      </c>
      <c r="L15" s="78" t="inlineStr">
        <is>
          <t>GET/POST /api/export/hs-code</t>
        </is>
      </c>
      <c r="M15" s="78" t="inlineStr">
        <is>
          <t>报关要素匹配用</t>
        </is>
      </c>
    </row>
    <row r="16" ht="78" customHeight="1">
      <c r="A16" s="78" t="n">
        <v>15</v>
      </c>
      <c r="B16" s="78" t="inlineStr">
        <is>
          <t>基础资料</t>
        </is>
      </c>
      <c r="C16" s="78" t="inlineStr">
        <is>
          <t>汇率库</t>
        </is>
      </c>
      <c r="D16" s="78" t="inlineStr">
        <is>
          <t>exchange_rate</t>
        </is>
      </c>
      <c r="E16" s="78" t="n">
        <v>1</v>
      </c>
      <c r="F16" s="78" t="inlineStr">
        <is>
          <t>GET /api/customs/rates</t>
        </is>
      </c>
      <c r="G16" s="78" t="inlineStr">
        <is>
          <t>无</t>
        </is>
      </c>
      <c r="H16" s="78" t="inlineStr">
        <is>
          <t>POST /api/customs/rates</t>
        </is>
      </c>
      <c r="I16" s="78" t="inlineStr">
        <is>
          <t>PUT /api/customs/rates/{rate_id}</t>
        </is>
      </c>
      <c r="J16" s="78" t="inlineStr">
        <is>
          <t>DELETE /api/customs/rates/{rate_id}?version=</t>
        </is>
      </c>
      <c r="K16" s="78" t="inlineStr">
        <is>
          <t>无</t>
        </is>
      </c>
      <c r="L16" s="78" t="inlineStr">
        <is>
          <t>GET/POST /api/export/exchange-rate</t>
        </is>
      </c>
      <c r="M16" s="78" t="inlineStr">
        <is>
          <t>同月同币种唯一；报关换算用</t>
        </is>
      </c>
    </row>
    <row r="17" ht="78" customHeight="1">
      <c r="A17" s="78" t="n">
        <v>16</v>
      </c>
      <c r="B17" s="78" t="inlineStr">
        <is>
          <t>基础资料</t>
        </is>
      </c>
      <c r="C17" s="78" t="inlineStr">
        <is>
          <t>编号规则</t>
        </is>
      </c>
      <c r="D17" s="78" t="inlineStr">
        <is>
          <t>number_rule</t>
        </is>
      </c>
      <c r="E17" s="78" t="n">
        <v>5</v>
      </c>
      <c r="F17" s="78" t="inlineStr">
        <is>
          <t>GET /api/numbering/rules</t>
        </is>
      </c>
      <c r="G17" s="78" t="inlineStr">
        <is>
          <t>无（列表已含预览）</t>
        </is>
      </c>
      <c r="H17" s="78" t="inlineStr">
        <is>
          <t>无</t>
        </is>
      </c>
      <c r="I17" s="78" t="inlineStr">
        <is>
          <t>PUT /api/numbering/rules/{rule_id}</t>
        </is>
      </c>
      <c r="J17" s="78" t="inlineStr">
        <is>
          <t>无</t>
        </is>
      </c>
      <c r="K17" s="78" t="inlineStr">
        <is>
          <t>无</t>
        </is>
      </c>
      <c r="L17" s="78" t="inlineStr">
        <is>
          <t>无</t>
        </is>
      </c>
      <c r="M17" s="78" t="inlineStr">
        <is>
          <t>管理员维护；只影响以后新编号</t>
        </is>
      </c>
    </row>
    <row r="18" ht="78" customHeight="1">
      <c r="A18" s="78" t="n">
        <v>17</v>
      </c>
      <c r="B18" s="78" t="inlineStr">
        <is>
          <t>基础资料</t>
        </is>
      </c>
      <c r="C18" s="78" t="inlineStr">
        <is>
          <t>导出模板</t>
        </is>
      </c>
      <c r="D18" s="78" t="inlineStr">
        <is>
          <t>export_profile</t>
        </is>
      </c>
      <c r="E18" s="78" t="n">
        <v>13</v>
      </c>
      <c r="F18" s="78" t="inlineStr">
        <is>
          <t>GET /api/export-profiles?doc_code=</t>
        </is>
      </c>
      <c r="G18" s="78" t="inlineStr">
        <is>
          <t>无</t>
        </is>
      </c>
      <c r="H18" s="78" t="inlineStr">
        <is>
          <t>POST /api/export-profiles</t>
        </is>
      </c>
      <c r="I18" s="78" t="inlineStr">
        <is>
          <t>PUT /api/export-profiles/{row_id}</t>
        </is>
      </c>
      <c r="J18" s="78" t="inlineStr">
        <is>
          <t>DELETE /api/export-profiles/{row_id}?version=</t>
        </is>
      </c>
      <c r="K18" s="78" t="inlineStr">
        <is>
          <t>POST /api/export-profiles/upload</t>
        </is>
      </c>
      <c r="L18" s="78" t="inlineStr">
        <is>
          <t>GET /api/export-profiles/fields</t>
        </is>
      </c>
      <c r="M18" s="78" t="inlineStr">
        <is>
          <t>模板绝对地址；按客商匹配</t>
        </is>
      </c>
    </row>
    <row r="19" ht="78" customHeight="1">
      <c r="A19" s="78" t="n">
        <v>18</v>
      </c>
      <c r="B19" s="78" t="inlineStr">
        <is>
          <t>组织管理</t>
        </is>
      </c>
      <c r="C19" s="78" t="inlineStr">
        <is>
          <t>用户</t>
        </is>
      </c>
      <c r="D19" s="78" t="inlineStr">
        <is>
          <t>sys_user</t>
        </is>
      </c>
      <c r="E19" s="78" t="n">
        <v>5</v>
      </c>
      <c r="F19" s="78" t="inlineStr">
        <is>
          <t>GET /api/users</t>
        </is>
      </c>
      <c r="G19" s="78" t="inlineStr">
        <is>
          <t>无</t>
        </is>
      </c>
      <c r="H19" s="78" t="inlineStr">
        <is>
          <t>POST /api/users</t>
        </is>
      </c>
      <c r="I19" s="78" t="inlineStr">
        <is>
          <t>PUT /api/users/{row_id}</t>
        </is>
      </c>
      <c r="J19" s="78" t="inlineStr">
        <is>
          <t>DELETE /api/users/{row_id}?version=</t>
        </is>
      </c>
      <c r="K19" s="78" t="inlineStr">
        <is>
          <t>无</t>
        </is>
      </c>
      <c r="L19" s="78" t="inlineStr">
        <is>
          <t>GET/POST /api/export/users</t>
        </is>
      </c>
      <c r="M19" s="78" t="inlineStr">
        <is>
          <t>重置密码 PUT /{id}/reset-password；强制退出 POST /{id}/force-logout</t>
        </is>
      </c>
    </row>
    <row r="20" ht="78" customHeight="1">
      <c r="A20" s="78" t="n">
        <v>19</v>
      </c>
      <c r="B20" s="78" t="inlineStr">
        <is>
          <t>视图</t>
        </is>
      </c>
      <c r="C20" s="78" t="inlineStr">
        <is>
          <t>待付款</t>
        </is>
      </c>
      <c r="D20" s="78" t="inlineStr">
        <is>
          <t>contract + settle_bill</t>
        </is>
      </c>
      <c r="E20" s="78" t="inlineStr">
        <is>
          <t>派生</t>
        </is>
      </c>
      <c r="F20" s="78" t="inlineStr">
        <is>
          <t>GET /api/pending?direction=purchase&amp;months=&amp;party_id=</t>
        </is>
      </c>
      <c r="G20" s="78" t="inlineStr">
        <is>
          <t>无</t>
        </is>
      </c>
      <c r="H20" s="78" t="inlineStr">
        <is>
          <t>只读</t>
        </is>
      </c>
      <c r="I20" s="78" t="inlineStr">
        <is>
          <t>只读</t>
        </is>
      </c>
      <c r="J20" s="78" t="inlineStr">
        <is>
          <t>只读</t>
        </is>
      </c>
      <c r="K20" s="78" t="inlineStr">
        <is>
          <t>无</t>
        </is>
      </c>
      <c r="L20" s="78" t="inlineStr">
        <is>
          <t>GET/POST /api/export/pending</t>
        </is>
      </c>
      <c r="M20" s="78" t="inlineStr">
        <is>
          <t>按阶段汇总，不是独立表</t>
        </is>
      </c>
    </row>
    <row r="21" ht="78" customHeight="1">
      <c r="A21" s="78" t="n">
        <v>20</v>
      </c>
      <c r="B21" s="78" t="inlineStr">
        <is>
          <t>视图</t>
        </is>
      </c>
      <c r="C21" s="78" t="inlineStr">
        <is>
          <t>到期提醒</t>
        </is>
      </c>
      <c r="D21" s="78" t="inlineStr">
        <is>
          <t>reminder_record</t>
        </is>
      </c>
      <c r="E21" s="78" t="n">
        <v>11</v>
      </c>
      <c r="F21" s="78" t="inlineStr">
        <is>
          <t>GET /api/reminders?tab=sale|purchase|output|input</t>
        </is>
      </c>
      <c r="G21" s="78" t="inlineStr">
        <is>
          <t>无</t>
        </is>
      </c>
      <c r="H21" s="78" t="inlineStr">
        <is>
          <t>POST /api/reminders/check</t>
        </is>
      </c>
      <c r="I21" s="78" t="inlineStr">
        <is>
          <t>POST /api/reminders/mark</t>
        </is>
      </c>
      <c r="J21" s="78" t="inlineStr">
        <is>
          <t>无</t>
        </is>
      </c>
      <c r="K21" s="78" t="inlineStr">
        <is>
          <t>无</t>
        </is>
      </c>
      <c r="L21" s="78" t="inlineStr">
        <is>
          <t>GET/POST /api/export/reminders</t>
        </is>
      </c>
      <c r="M21" s="78" t="inlineStr">
        <is>
          <t>只记录处理状态，不改合同/发票</t>
        </is>
      </c>
    </row>
    <row r="22" ht="78" customHeight="1">
      <c r="A22" s="78" t="n">
        <v>21</v>
      </c>
      <c r="B22" s="78" t="inlineStr">
        <is>
          <t>视图</t>
        </is>
      </c>
      <c r="C22" s="78" t="inlineStr">
        <is>
          <t>首页/统计</t>
        </is>
      </c>
      <c r="D22" s="78" t="inlineStr">
        <is>
          <t>聚合</t>
        </is>
      </c>
      <c r="E22" s="78" t="inlineStr">
        <is>
          <t>派生</t>
        </is>
      </c>
      <c r="F22" s="78" t="inlineStr">
        <is>
          <t>GET /api/stats/home、/overview、/customer、/supplier、/supplier-detail</t>
        </is>
      </c>
      <c r="G22" s="78" t="inlineStr">
        <is>
          <t>无</t>
        </is>
      </c>
      <c r="H22" s="78" t="inlineStr">
        <is>
          <t>只读</t>
        </is>
      </c>
      <c r="I22" s="78" t="inlineStr">
        <is>
          <t>只读</t>
        </is>
      </c>
      <c r="J22" s="78" t="inlineStr">
        <is>
          <t>只读</t>
        </is>
      </c>
      <c r="K22" s="78" t="inlineStr">
        <is>
          <t>无</t>
        </is>
      </c>
      <c r="L22" s="78" t="inlineStr">
        <is>
          <t>GET/POST /api/export/stats-*</t>
        </is>
      </c>
      <c r="M22" s="78" t="inlineStr">
        <is>
          <t>金额口径只计已签订合同</t>
        </is>
      </c>
    </row>
  </sheetData>
  <autoFilter ref="A1:M22"/>
  <pageMargins left="0.75" right="0.75" top="1" bottom="1" header="0.5" footer="0.5"/>
</worksheet>
</file>

<file path=xl/worksheets/sheet28.xml><?xml version="1.0" encoding="utf-8"?>
<worksheet xmlns="http://schemas.openxmlformats.org/spreadsheetml/2006/main">
  <sheetPr>
    <tabColor rgb="002E75B6"/>
    <outlinePr summaryBelow="1" summaryRight="1"/>
    <pageSetUpPr/>
  </sheetPr>
  <dimension ref="A1:I309"/>
  <sheetViews>
    <sheetView showGridLines="0" workbookViewId="0">
      <pane ySplit="1" topLeftCell="A2" activePane="bottomLeft" state="frozen"/>
      <selection pane="bottomLeft" activeCell="A1" sqref="A1"/>
    </sheetView>
  </sheetViews>
  <sheetFormatPr baseColWidth="8" defaultRowHeight="15"/>
  <cols>
    <col width="6" customWidth="1" min="1" max="1"/>
    <col width="10" customWidth="1" min="2" max="2"/>
    <col width="18" customWidth="1" min="3" max="3"/>
    <col width="14" customWidth="1" min="4" max="4"/>
    <col width="26" customWidth="1" min="5" max="5"/>
    <col width="20" customWidth="1" min="6" max="6"/>
    <col width="8" customWidth="1" min="7" max="7"/>
    <col width="8" customWidth="1" min="8" max="8"/>
    <col width="52" customWidth="1" min="9" max="9"/>
  </cols>
  <sheetData>
    <row r="1" ht="30" customHeight="1">
      <c r="A1" s="77" t="inlineStr">
        <is>
          <t>序号</t>
        </is>
      </c>
      <c r="B1" s="77" t="inlineStr">
        <is>
          <t>模块</t>
        </is>
      </c>
      <c r="C1" s="77" t="inlineStr">
        <is>
          <t>表单/页面</t>
        </is>
      </c>
      <c r="D1" s="77" t="inlineStr">
        <is>
          <t>分段</t>
        </is>
      </c>
      <c r="E1" s="77" t="inlineStr">
        <is>
          <t>字段名（API/数据库）</t>
        </is>
      </c>
      <c r="F1" s="77" t="inlineStr">
        <is>
          <t>中文名</t>
        </is>
      </c>
      <c r="G1" s="77" t="inlineStr">
        <is>
          <t>类型</t>
        </is>
      </c>
      <c r="H1" s="77" t="inlineStr">
        <is>
          <t>必填</t>
        </is>
      </c>
      <c r="I1" s="77" t="inlineStr">
        <is>
          <t>说明/枚举</t>
        </is>
      </c>
    </row>
    <row r="2" ht="22" customHeight="1">
      <c r="A2" s="78" t="n">
        <v>1</v>
      </c>
      <c r="B2" s="78" t="inlineStr">
        <is>
          <t>商务信息</t>
        </is>
      </c>
      <c r="C2" s="78" t="inlineStr">
        <is>
          <t>客商</t>
        </is>
      </c>
      <c r="D2" s="78" t="inlineStr">
        <is>
          <t>主表</t>
        </is>
      </c>
      <c r="E2" s="78" t="inlineStr">
        <is>
          <t>code</t>
        </is>
      </c>
      <c r="F2" s="78" t="inlineStr">
        <is>
          <t>编码</t>
        </is>
      </c>
      <c r="G2" s="78" t="inlineStr">
        <is>
          <t>文本</t>
        </is>
      </c>
      <c r="H2" s="78" t="inlineStr">
        <is>
          <t>是</t>
        </is>
      </c>
      <c r="I2" s="78" t="inlineStr">
        <is>
          <t>公司内唯一；导入按编码更新</t>
        </is>
      </c>
    </row>
    <row r="3" ht="22" customHeight="1">
      <c r="A3" s="78" t="n">
        <v>2</v>
      </c>
      <c r="B3" s="78" t="inlineStr">
        <is>
          <t>商务信息</t>
        </is>
      </c>
      <c r="C3" s="78" t="inlineStr">
        <is>
          <t>客商</t>
        </is>
      </c>
      <c r="D3" s="78" t="inlineStr">
        <is>
          <t>主表</t>
        </is>
      </c>
      <c r="E3" s="78" t="inlineStr">
        <is>
          <t>name</t>
        </is>
      </c>
      <c r="F3" s="78" t="inlineStr">
        <is>
          <t>名称</t>
        </is>
      </c>
      <c r="G3" s="78" t="inlineStr">
        <is>
          <t>文本</t>
        </is>
      </c>
      <c r="H3" s="78" t="inlineStr">
        <is>
          <t>是</t>
        </is>
      </c>
      <c r="I3" s="78" t="inlineStr"/>
    </row>
    <row r="4" ht="22" customHeight="1">
      <c r="A4" s="78" t="n">
        <v>3</v>
      </c>
      <c r="B4" s="78" t="inlineStr">
        <is>
          <t>商务信息</t>
        </is>
      </c>
      <c r="C4" s="78" t="inlineStr">
        <is>
          <t>客商</t>
        </is>
      </c>
      <c r="D4" s="78" t="inlineStr">
        <is>
          <t>主表</t>
        </is>
      </c>
      <c r="E4" s="78" t="inlineStr">
        <is>
          <t>type</t>
        </is>
      </c>
      <c r="F4" s="78" t="inlineStr">
        <is>
          <t>客商类型</t>
        </is>
      </c>
      <c r="G4" s="78" t="inlineStr">
        <is>
          <t>文本</t>
        </is>
      </c>
      <c r="H4" s="78" t="inlineStr">
        <is>
          <t>是</t>
        </is>
      </c>
      <c r="I4" s="78" t="inlineStr">
        <is>
          <t>supplier 供应商 / customer 客户；保存后不可改</t>
        </is>
      </c>
    </row>
    <row r="5" ht="22" customHeight="1">
      <c r="A5" s="78" t="n">
        <v>4</v>
      </c>
      <c r="B5" s="78" t="inlineStr">
        <is>
          <t>商务信息</t>
        </is>
      </c>
      <c r="C5" s="78" t="inlineStr">
        <is>
          <t>客商</t>
        </is>
      </c>
      <c r="D5" s="78" t="inlineStr">
        <is>
          <t>主表</t>
        </is>
      </c>
      <c r="E5" s="78" t="inlineStr">
        <is>
          <t>short_name</t>
        </is>
      </c>
      <c r="F5" s="78" t="inlineStr">
        <is>
          <t>简称</t>
        </is>
      </c>
      <c r="G5" s="78" t="inlineStr">
        <is>
          <t>文本</t>
        </is>
      </c>
      <c r="H5" s="78" t="inlineStr">
        <is>
          <t>否</t>
        </is>
      </c>
      <c r="I5" s="78" t="inlineStr"/>
    </row>
    <row r="6" ht="22" customHeight="1">
      <c r="A6" s="78" t="n">
        <v>5</v>
      </c>
      <c r="B6" s="78" t="inlineStr">
        <is>
          <t>商务信息</t>
        </is>
      </c>
      <c r="C6" s="78" t="inlineStr">
        <is>
          <t>客商</t>
        </is>
      </c>
      <c r="D6" s="78" t="inlineStr">
        <is>
          <t>主表</t>
        </is>
      </c>
      <c r="E6" s="78" t="inlineStr">
        <is>
          <t>tax_no</t>
        </is>
      </c>
      <c r="F6" s="78" t="inlineStr">
        <is>
          <t>纳税人识别号</t>
        </is>
      </c>
      <c r="G6" s="78" t="inlineStr">
        <is>
          <t>文本</t>
        </is>
      </c>
      <c r="H6" s="78" t="inlineStr">
        <is>
          <t>否</t>
        </is>
      </c>
      <c r="I6" s="78" t="inlineStr"/>
    </row>
    <row r="7" ht="22" customHeight="1">
      <c r="A7" s="78" t="n">
        <v>6</v>
      </c>
      <c r="B7" s="78" t="inlineStr">
        <is>
          <t>商务信息</t>
        </is>
      </c>
      <c r="C7" s="78" t="inlineStr">
        <is>
          <t>客商</t>
        </is>
      </c>
      <c r="D7" s="78" t="inlineStr">
        <is>
          <t>主表</t>
        </is>
      </c>
      <c r="E7" s="78" t="inlineStr">
        <is>
          <t>default_tax_rate</t>
        </is>
      </c>
      <c r="F7" s="78" t="inlineStr">
        <is>
          <t>默认税率</t>
        </is>
      </c>
      <c r="G7" s="78" t="inlineStr">
        <is>
          <t>文本</t>
        </is>
      </c>
      <c r="H7" s="78" t="inlineStr">
        <is>
          <t>否</t>
        </is>
      </c>
      <c r="I7" s="78" t="inlineStr">
        <is>
          <t>新建合同时带出，可改</t>
        </is>
      </c>
    </row>
    <row r="8" ht="22" customHeight="1">
      <c r="A8" s="78" t="n">
        <v>7</v>
      </c>
      <c r="B8" s="78" t="inlineStr">
        <is>
          <t>商务信息</t>
        </is>
      </c>
      <c r="C8" s="78" t="inlineStr">
        <is>
          <t>客商</t>
        </is>
      </c>
      <c r="D8" s="78" t="inlineStr">
        <is>
          <t>主表</t>
        </is>
      </c>
      <c r="E8" s="78" t="inlineStr">
        <is>
          <t>status</t>
        </is>
      </c>
      <c r="F8" s="78" t="inlineStr">
        <is>
          <t>状态</t>
        </is>
      </c>
      <c r="G8" s="78" t="inlineStr">
        <is>
          <t>文本</t>
        </is>
      </c>
      <c r="H8" s="78" t="inlineStr">
        <is>
          <t>否</t>
        </is>
      </c>
      <c r="I8" s="78" t="inlineStr">
        <is>
          <t>启用 / 停用；停用不出现在新单据下拉</t>
        </is>
      </c>
    </row>
    <row r="9" ht="22" customHeight="1">
      <c r="A9" s="78" t="n">
        <v>8</v>
      </c>
      <c r="B9" s="78" t="inlineStr">
        <is>
          <t>商务信息</t>
        </is>
      </c>
      <c r="C9" s="78" t="inlineStr">
        <is>
          <t>客商</t>
        </is>
      </c>
      <c r="D9" s="78" t="inlineStr">
        <is>
          <t>主表</t>
        </is>
      </c>
      <c r="E9" s="78" t="inlineStr">
        <is>
          <t>supplier_category</t>
        </is>
      </c>
      <c r="F9" s="78" t="inlineStr">
        <is>
          <t>供应商类别</t>
        </is>
      </c>
      <c r="G9" s="78" t="inlineStr">
        <is>
          <t>文本</t>
        </is>
      </c>
      <c r="H9" s="78" t="inlineStr">
        <is>
          <t>否</t>
        </is>
      </c>
      <c r="I9" s="78" t="inlineStr">
        <is>
          <t>仅供应商</t>
        </is>
      </c>
    </row>
    <row r="10" ht="22" customHeight="1">
      <c r="A10" s="78" t="n">
        <v>9</v>
      </c>
      <c r="B10" s="78" t="inlineStr">
        <is>
          <t>商务信息</t>
        </is>
      </c>
      <c r="C10" s="78" t="inlineStr">
        <is>
          <t>客商</t>
        </is>
      </c>
      <c r="D10" s="78" t="inlineStr">
        <is>
          <t>主表</t>
        </is>
      </c>
      <c r="E10" s="78" t="inlineStr">
        <is>
          <t>salesman_id</t>
        </is>
      </c>
      <c r="F10" s="78" t="inlineStr">
        <is>
          <t>业务员</t>
        </is>
      </c>
      <c r="G10" s="78" t="inlineStr">
        <is>
          <t>文本</t>
        </is>
      </c>
      <c r="H10" s="78" t="inlineStr">
        <is>
          <t>否</t>
        </is>
      </c>
      <c r="I10" s="78" t="inlineStr">
        <is>
          <t>员工编号；仅客户常用</t>
        </is>
      </c>
    </row>
    <row r="11" ht="22" customHeight="1">
      <c r="A11" s="78" t="n">
        <v>10</v>
      </c>
      <c r="B11" s="78" t="inlineStr">
        <is>
          <t>商务信息</t>
        </is>
      </c>
      <c r="C11" s="78" t="inlineStr">
        <is>
          <t>客商</t>
        </is>
      </c>
      <c r="D11" s="78" t="inlineStr">
        <is>
          <t>主表</t>
        </is>
      </c>
      <c r="E11" s="78" t="inlineStr">
        <is>
          <t>invoice_title</t>
        </is>
      </c>
      <c r="F11" s="78" t="inlineStr">
        <is>
          <t>开票名称</t>
        </is>
      </c>
      <c r="G11" s="78" t="inlineStr">
        <is>
          <t>文本</t>
        </is>
      </c>
      <c r="H11" s="78" t="inlineStr">
        <is>
          <t>否</t>
        </is>
      </c>
      <c r="I11" s="78" t="inlineStr"/>
    </row>
    <row r="12" ht="22" customHeight="1">
      <c r="A12" s="78" t="n">
        <v>11</v>
      </c>
      <c r="B12" s="78" t="inlineStr">
        <is>
          <t>商务信息</t>
        </is>
      </c>
      <c r="C12" s="78" t="inlineStr">
        <is>
          <t>客商</t>
        </is>
      </c>
      <c r="D12" s="78" t="inlineStr">
        <is>
          <t>主表</t>
        </is>
      </c>
      <c r="E12" s="78" t="inlineStr">
        <is>
          <t>bank_name</t>
        </is>
      </c>
      <c r="F12" s="78" t="inlineStr">
        <is>
          <t>开户银行</t>
        </is>
      </c>
      <c r="G12" s="78" t="inlineStr">
        <is>
          <t>文本</t>
        </is>
      </c>
      <c r="H12" s="78" t="inlineStr">
        <is>
          <t>否</t>
        </is>
      </c>
      <c r="I12" s="78" t="inlineStr"/>
    </row>
    <row r="13" ht="22" customHeight="1">
      <c r="A13" s="78" t="n">
        <v>12</v>
      </c>
      <c r="B13" s="78" t="inlineStr">
        <is>
          <t>商务信息</t>
        </is>
      </c>
      <c r="C13" s="78" t="inlineStr">
        <is>
          <t>客商</t>
        </is>
      </c>
      <c r="D13" s="78" t="inlineStr">
        <is>
          <t>主表</t>
        </is>
      </c>
      <c r="E13" s="78" t="inlineStr">
        <is>
          <t>account_name</t>
        </is>
      </c>
      <c r="F13" s="78" t="inlineStr">
        <is>
          <t>账户名称</t>
        </is>
      </c>
      <c r="G13" s="78" t="inlineStr">
        <is>
          <t>文本</t>
        </is>
      </c>
      <c r="H13" s="78" t="inlineStr">
        <is>
          <t>否</t>
        </is>
      </c>
      <c r="I13" s="78" t="inlineStr"/>
    </row>
    <row r="14" ht="22" customHeight="1">
      <c r="A14" s="78" t="n">
        <v>13</v>
      </c>
      <c r="B14" s="78" t="inlineStr">
        <is>
          <t>商务信息</t>
        </is>
      </c>
      <c r="C14" s="78" t="inlineStr">
        <is>
          <t>客商</t>
        </is>
      </c>
      <c r="D14" s="78" t="inlineStr">
        <is>
          <t>主表</t>
        </is>
      </c>
      <c r="E14" s="78" t="inlineStr">
        <is>
          <t>bank_account</t>
        </is>
      </c>
      <c r="F14" s="78" t="inlineStr">
        <is>
          <t>银行账号</t>
        </is>
      </c>
      <c r="G14" s="78" t="inlineStr">
        <is>
          <t>文本</t>
        </is>
      </c>
      <c r="H14" s="78" t="inlineStr">
        <is>
          <t>否</t>
        </is>
      </c>
      <c r="I14" s="78" t="inlineStr"/>
    </row>
    <row r="15" ht="22" customHeight="1">
      <c r="A15" s="78" t="n">
        <v>14</v>
      </c>
      <c r="B15" s="78" t="inlineStr">
        <is>
          <t>商务信息</t>
        </is>
      </c>
      <c r="C15" s="78" t="inlineStr">
        <is>
          <t>客商</t>
        </is>
      </c>
      <c r="D15" s="78" t="inlineStr">
        <is>
          <t>主表</t>
        </is>
      </c>
      <c r="E15" s="78" t="inlineStr">
        <is>
          <t>bank_branch</t>
        </is>
      </c>
      <c r="F15" s="78" t="inlineStr">
        <is>
          <t>开户支行</t>
        </is>
      </c>
      <c r="G15" s="78" t="inlineStr">
        <is>
          <t>文本</t>
        </is>
      </c>
      <c r="H15" s="78" t="inlineStr">
        <is>
          <t>否</t>
        </is>
      </c>
      <c r="I15" s="78" t="inlineStr"/>
    </row>
    <row r="16" ht="22" customHeight="1">
      <c r="A16" s="78" t="n">
        <v>15</v>
      </c>
      <c r="B16" s="78" t="inlineStr">
        <is>
          <t>商务信息</t>
        </is>
      </c>
      <c r="C16" s="78" t="inlineStr">
        <is>
          <t>客商</t>
        </is>
      </c>
      <c r="D16" s="78" t="inlineStr">
        <is>
          <t>主表</t>
        </is>
      </c>
      <c r="E16" s="78" t="inlineStr">
        <is>
          <t>invoice_phone</t>
        </is>
      </c>
      <c r="F16" s="78" t="inlineStr">
        <is>
          <t>开票电话</t>
        </is>
      </c>
      <c r="G16" s="78" t="inlineStr">
        <is>
          <t>文本</t>
        </is>
      </c>
      <c r="H16" s="78" t="inlineStr">
        <is>
          <t>否</t>
        </is>
      </c>
      <c r="I16" s="78" t="inlineStr"/>
    </row>
    <row r="17" ht="22" customHeight="1">
      <c r="A17" s="78" t="n">
        <v>16</v>
      </c>
      <c r="B17" s="78" t="inlineStr">
        <is>
          <t>商务信息</t>
        </is>
      </c>
      <c r="C17" s="78" t="inlineStr">
        <is>
          <t>客商</t>
        </is>
      </c>
      <c r="D17" s="78" t="inlineStr">
        <is>
          <t>主表</t>
        </is>
      </c>
      <c r="E17" s="78" t="inlineStr">
        <is>
          <t>invoice_address</t>
        </is>
      </c>
      <c r="F17" s="78" t="inlineStr">
        <is>
          <t>开票地址</t>
        </is>
      </c>
      <c r="G17" s="78" t="inlineStr">
        <is>
          <t>文本</t>
        </is>
      </c>
      <c r="H17" s="78" t="inlineStr">
        <is>
          <t>否</t>
        </is>
      </c>
      <c r="I17" s="78" t="inlineStr"/>
    </row>
    <row r="18" ht="22" customHeight="1">
      <c r="A18" s="78" t="n">
        <v>17</v>
      </c>
      <c r="B18" s="78" t="inlineStr">
        <is>
          <t>商务信息</t>
        </is>
      </c>
      <c r="C18" s="78" t="inlineStr">
        <is>
          <t>客商</t>
        </is>
      </c>
      <c r="D18" s="78" t="inlineStr">
        <is>
          <t>主表</t>
        </is>
      </c>
      <c r="E18" s="78" t="inlineStr">
        <is>
          <t>address</t>
        </is>
      </c>
      <c r="F18" s="78" t="inlineStr">
        <is>
          <t>通讯地址</t>
        </is>
      </c>
      <c r="G18" s="78" t="inlineStr">
        <is>
          <t>文本</t>
        </is>
      </c>
      <c r="H18" s="78" t="inlineStr">
        <is>
          <t>否</t>
        </is>
      </c>
      <c r="I18" s="78" t="inlineStr"/>
    </row>
    <row r="19" ht="22" customHeight="1">
      <c r="A19" s="78" t="n">
        <v>18</v>
      </c>
      <c r="B19" s="78" t="inlineStr">
        <is>
          <t>商务信息</t>
        </is>
      </c>
      <c r="C19" s="78" t="inlineStr">
        <is>
          <t>客商</t>
        </is>
      </c>
      <c r="D19" s="78" t="inlineStr">
        <is>
          <t>主表</t>
        </is>
      </c>
      <c r="E19" s="78" t="inlineStr">
        <is>
          <t>email</t>
        </is>
      </c>
      <c r="F19" s="78" t="inlineStr">
        <is>
          <t>邮箱</t>
        </is>
      </c>
      <c r="G19" s="78" t="inlineStr">
        <is>
          <t>文本</t>
        </is>
      </c>
      <c r="H19" s="78" t="inlineStr">
        <is>
          <t>否</t>
        </is>
      </c>
      <c r="I19" s="78" t="inlineStr"/>
    </row>
    <row r="20" ht="22" customHeight="1">
      <c r="A20" s="78" t="n">
        <v>19</v>
      </c>
      <c r="B20" s="78" t="inlineStr">
        <is>
          <t>商务信息</t>
        </is>
      </c>
      <c r="C20" s="78" t="inlineStr">
        <is>
          <t>客商</t>
        </is>
      </c>
      <c r="D20" s="78" t="inlineStr">
        <is>
          <t>主表</t>
        </is>
      </c>
      <c r="E20" s="78" t="inlineStr">
        <is>
          <t>mobile</t>
        </is>
      </c>
      <c r="F20" s="78" t="inlineStr">
        <is>
          <t>手机</t>
        </is>
      </c>
      <c r="G20" s="78" t="inlineStr">
        <is>
          <t>文本</t>
        </is>
      </c>
      <c r="H20" s="78" t="inlineStr">
        <is>
          <t>否</t>
        </is>
      </c>
      <c r="I20" s="78" t="inlineStr"/>
    </row>
    <row r="21" ht="22" customHeight="1">
      <c r="A21" s="78" t="n">
        <v>20</v>
      </c>
      <c r="B21" s="78" t="inlineStr">
        <is>
          <t>商务信息</t>
        </is>
      </c>
      <c r="C21" s="78" t="inlineStr">
        <is>
          <t>客商</t>
        </is>
      </c>
      <c r="D21" s="78" t="inlineStr">
        <is>
          <t>主表</t>
        </is>
      </c>
      <c r="E21" s="78" t="inlineStr">
        <is>
          <t>legal_name</t>
        </is>
      </c>
      <c r="F21" s="78" t="inlineStr">
        <is>
          <t>法人代表</t>
        </is>
      </c>
      <c r="G21" s="78" t="inlineStr">
        <is>
          <t>文本</t>
        </is>
      </c>
      <c r="H21" s="78" t="inlineStr">
        <is>
          <t>否</t>
        </is>
      </c>
      <c r="I21" s="78" t="inlineStr"/>
    </row>
    <row r="22" ht="22" customHeight="1">
      <c r="A22" s="78" t="n">
        <v>21</v>
      </c>
      <c r="B22" s="78" t="inlineStr">
        <is>
          <t>商务信息</t>
        </is>
      </c>
      <c r="C22" s="78" t="inlineStr">
        <is>
          <t>客商</t>
        </is>
      </c>
      <c r="D22" s="78" t="inlineStr">
        <is>
          <t>主表</t>
        </is>
      </c>
      <c r="E22" s="78" t="inlineStr">
        <is>
          <t>agent_name</t>
        </is>
      </c>
      <c r="F22" s="78" t="inlineStr">
        <is>
          <t>委托代理人</t>
        </is>
      </c>
      <c r="G22" s="78" t="inlineStr">
        <is>
          <t>文本</t>
        </is>
      </c>
      <c r="H22" s="78" t="inlineStr">
        <is>
          <t>否</t>
        </is>
      </c>
      <c r="I22" s="78" t="inlineStr"/>
    </row>
    <row r="23" ht="22" customHeight="1">
      <c r="A23" s="78" t="n">
        <v>22</v>
      </c>
      <c r="B23" s="78" t="inlineStr">
        <is>
          <t>商务信息</t>
        </is>
      </c>
      <c r="C23" s="78" t="inlineStr">
        <is>
          <t>客商</t>
        </is>
      </c>
      <c r="D23" s="78" t="inlineStr">
        <is>
          <t>主表</t>
        </is>
      </c>
      <c r="E23" s="78" t="inlineStr">
        <is>
          <t>remark</t>
        </is>
      </c>
      <c r="F23" s="78" t="inlineStr">
        <is>
          <t>备注</t>
        </is>
      </c>
      <c r="G23" s="78" t="inlineStr">
        <is>
          <t>文本</t>
        </is>
      </c>
      <c r="H23" s="78" t="inlineStr">
        <is>
          <t>否</t>
        </is>
      </c>
      <c r="I23" s="78" t="inlineStr"/>
    </row>
    <row r="24" ht="22" customHeight="1">
      <c r="A24" s="78" t="n">
        <v>23</v>
      </c>
      <c r="B24" s="78" t="inlineStr">
        <is>
          <t>商务信息</t>
        </is>
      </c>
      <c r="C24" s="78" t="inlineStr">
        <is>
          <t>客商</t>
        </is>
      </c>
      <c r="D24" s="78" t="inlineStr">
        <is>
          <t>联系人</t>
        </is>
      </c>
      <c r="E24" s="78" t="inlineStr">
        <is>
          <t>name</t>
        </is>
      </c>
      <c r="F24" s="78" t="inlineStr">
        <is>
          <t>联系人</t>
        </is>
      </c>
      <c r="G24" s="78" t="inlineStr">
        <is>
          <t>文本</t>
        </is>
      </c>
      <c r="H24" s="78" t="inlineStr">
        <is>
          <t>否</t>
        </is>
      </c>
      <c r="I24" s="78" t="inlineStr">
        <is>
          <t>party_contact 子表</t>
        </is>
      </c>
    </row>
    <row r="25" ht="22" customHeight="1">
      <c r="A25" s="78" t="n">
        <v>24</v>
      </c>
      <c r="B25" s="78" t="inlineStr">
        <is>
          <t>商务信息</t>
        </is>
      </c>
      <c r="C25" s="78" t="inlineStr">
        <is>
          <t>客商</t>
        </is>
      </c>
      <c r="D25" s="78" t="inlineStr">
        <is>
          <t>联系人</t>
        </is>
      </c>
      <c r="E25" s="78" t="inlineStr">
        <is>
          <t>phone</t>
        </is>
      </c>
      <c r="F25" s="78" t="inlineStr">
        <is>
          <t>联系电话</t>
        </is>
      </c>
      <c r="G25" s="78" t="inlineStr">
        <is>
          <t>文本</t>
        </is>
      </c>
      <c r="H25" s="78" t="inlineStr">
        <is>
          <t>否</t>
        </is>
      </c>
      <c r="I25" s="78" t="inlineStr">
        <is>
          <t>party_contact 子表</t>
        </is>
      </c>
    </row>
    <row r="26" ht="22" customHeight="1">
      <c r="A26" s="78" t="n">
        <v>25</v>
      </c>
      <c r="B26" s="78" t="inlineStr">
        <is>
          <t>商务信息</t>
        </is>
      </c>
      <c r="C26" s="78" t="inlineStr">
        <is>
          <t>客商</t>
        </is>
      </c>
      <c r="D26" s="78" t="inlineStr">
        <is>
          <t>联系人</t>
        </is>
      </c>
      <c r="E26" s="78" t="inlineStr">
        <is>
          <t>is_default</t>
        </is>
      </c>
      <c r="F26" s="78" t="inlineStr">
        <is>
          <t>默认联系人</t>
        </is>
      </c>
      <c r="G26" s="78" t="inlineStr">
        <is>
          <t>文本</t>
        </is>
      </c>
      <c r="H26" s="78" t="inlineStr">
        <is>
          <t>否</t>
        </is>
      </c>
      <c r="I26" s="78" t="inlineStr">
        <is>
          <t>同一客商至多一个默认</t>
        </is>
      </c>
    </row>
    <row r="27" ht="22" customHeight="1">
      <c r="A27" s="78" t="n">
        <v>26</v>
      </c>
      <c r="B27" s="78" t="inlineStr">
        <is>
          <t>商务信息</t>
        </is>
      </c>
      <c r="C27" s="78" t="inlineStr">
        <is>
          <t>项目</t>
        </is>
      </c>
      <c r="D27" s="78" t="inlineStr">
        <is>
          <t>主表</t>
        </is>
      </c>
      <c r="E27" s="78" t="inlineStr">
        <is>
          <t>project_code</t>
        </is>
      </c>
      <c r="F27" s="78" t="inlineStr">
        <is>
          <t>项目编号</t>
        </is>
      </c>
      <c r="G27" s="78" t="inlineStr">
        <is>
          <t>文本</t>
        </is>
      </c>
      <c r="H27" s="78" t="inlineStr">
        <is>
          <t>是</t>
        </is>
      </c>
      <c r="I27" s="78" t="inlineStr">
        <is>
          <t>公司内唯一</t>
        </is>
      </c>
    </row>
    <row r="28" ht="22" customHeight="1">
      <c r="A28" s="78" t="n">
        <v>27</v>
      </c>
      <c r="B28" s="78" t="inlineStr">
        <is>
          <t>商务信息</t>
        </is>
      </c>
      <c r="C28" s="78" t="inlineStr">
        <is>
          <t>项目</t>
        </is>
      </c>
      <c r="D28" s="78" t="inlineStr">
        <is>
          <t>主表</t>
        </is>
      </c>
      <c r="E28" s="78" t="inlineStr">
        <is>
          <t>name</t>
        </is>
      </c>
      <c r="F28" s="78" t="inlineStr">
        <is>
          <t>项目名称</t>
        </is>
      </c>
      <c r="G28" s="78" t="inlineStr">
        <is>
          <t>文本</t>
        </is>
      </c>
      <c r="H28" s="78" t="inlineStr">
        <is>
          <t>是</t>
        </is>
      </c>
      <c r="I28" s="78" t="inlineStr"/>
    </row>
    <row r="29" ht="22" customHeight="1">
      <c r="A29" s="78" t="n">
        <v>28</v>
      </c>
      <c r="B29" s="78" t="inlineStr">
        <is>
          <t>商务信息</t>
        </is>
      </c>
      <c r="C29" s="78" t="inlineStr">
        <is>
          <t>项目</t>
        </is>
      </c>
      <c r="D29" s="78" t="inlineStr">
        <is>
          <t>主表</t>
        </is>
      </c>
      <c r="E29" s="78" t="inlineStr">
        <is>
          <t>year</t>
        </is>
      </c>
      <c r="F29" s="78" t="inlineStr">
        <is>
          <t>年度</t>
        </is>
      </c>
      <c r="G29" s="78" t="inlineStr">
        <is>
          <t>文本</t>
        </is>
      </c>
      <c r="H29" s="78" t="inlineStr">
        <is>
          <t>否</t>
        </is>
      </c>
      <c r="I29" s="78" t="inlineStr"/>
    </row>
    <row r="30" ht="22" customHeight="1">
      <c r="A30" s="78" t="n">
        <v>29</v>
      </c>
      <c r="B30" s="78" t="inlineStr">
        <is>
          <t>商务信息</t>
        </is>
      </c>
      <c r="C30" s="78" t="inlineStr">
        <is>
          <t>项目</t>
        </is>
      </c>
      <c r="D30" s="78" t="inlineStr">
        <is>
          <t>主表</t>
        </is>
      </c>
      <c r="E30" s="78" t="inlineStr">
        <is>
          <t>project_type</t>
        </is>
      </c>
      <c r="F30" s="78" t="inlineStr">
        <is>
          <t>项目类型</t>
        </is>
      </c>
      <c r="G30" s="78" t="inlineStr">
        <is>
          <t>文本</t>
        </is>
      </c>
      <c r="H30" s="78" t="inlineStr">
        <is>
          <t>否</t>
        </is>
      </c>
      <c r="I30" s="78" t="inlineStr"/>
    </row>
    <row r="31" ht="22" customHeight="1">
      <c r="A31" s="78" t="n">
        <v>30</v>
      </c>
      <c r="B31" s="78" t="inlineStr">
        <is>
          <t>商务信息</t>
        </is>
      </c>
      <c r="C31" s="78" t="inlineStr">
        <is>
          <t>项目</t>
        </is>
      </c>
      <c r="D31" s="78" t="inlineStr">
        <is>
          <t>主表</t>
        </is>
      </c>
      <c r="E31" s="78" t="inlineStr">
        <is>
          <t>source</t>
        </is>
      </c>
      <c r="F31" s="78" t="inlineStr">
        <is>
          <t>来源</t>
        </is>
      </c>
      <c r="G31" s="78" t="inlineStr">
        <is>
          <t>文本</t>
        </is>
      </c>
      <c r="H31" s="78" t="inlineStr">
        <is>
          <t>否</t>
        </is>
      </c>
      <c r="I31" s="78" t="inlineStr"/>
    </row>
    <row r="32" ht="22" customHeight="1">
      <c r="A32" s="78" t="n">
        <v>31</v>
      </c>
      <c r="B32" s="78" t="inlineStr">
        <is>
          <t>商务信息</t>
        </is>
      </c>
      <c r="C32" s="78" t="inlineStr">
        <is>
          <t>项目</t>
        </is>
      </c>
      <c r="D32" s="78" t="inlineStr">
        <is>
          <t>主表</t>
        </is>
      </c>
      <c r="E32" s="78" t="inlineStr">
        <is>
          <t>customer_name</t>
        </is>
      </c>
      <c r="F32" s="78" t="inlineStr">
        <is>
          <t>客户名称</t>
        </is>
      </c>
      <c r="G32" s="78" t="inlineStr">
        <is>
          <t>文本</t>
        </is>
      </c>
      <c r="H32" s="78" t="inlineStr">
        <is>
          <t>否</t>
        </is>
      </c>
      <c r="I32" s="78" t="inlineStr">
        <is>
          <t>自由文本，不挂客商ID</t>
        </is>
      </c>
    </row>
    <row r="33" ht="22" customHeight="1">
      <c r="A33" s="78" t="n">
        <v>32</v>
      </c>
      <c r="B33" s="78" t="inlineStr">
        <is>
          <t>商务信息</t>
        </is>
      </c>
      <c r="C33" s="78" t="inlineStr">
        <is>
          <t>项目</t>
        </is>
      </c>
      <c r="D33" s="78" t="inlineStr">
        <is>
          <t>主表</t>
        </is>
      </c>
      <c r="E33" s="78" t="inlineStr">
        <is>
          <t>start_date</t>
        </is>
      </c>
      <c r="F33" s="78" t="inlineStr">
        <is>
          <t>开始日期</t>
        </is>
      </c>
      <c r="G33" s="78" t="inlineStr">
        <is>
          <t>日期</t>
        </is>
      </c>
      <c r="H33" s="78" t="inlineStr">
        <is>
          <t>否</t>
        </is>
      </c>
      <c r="I33" s="78" t="inlineStr"/>
    </row>
    <row r="34" ht="22" customHeight="1">
      <c r="A34" s="78" t="n">
        <v>33</v>
      </c>
      <c r="B34" s="78" t="inlineStr">
        <is>
          <t>商务信息</t>
        </is>
      </c>
      <c r="C34" s="78" t="inlineStr">
        <is>
          <t>项目</t>
        </is>
      </c>
      <c r="D34" s="78" t="inlineStr">
        <is>
          <t>主表</t>
        </is>
      </c>
      <c r="E34" s="78" t="inlineStr">
        <is>
          <t>end_date</t>
        </is>
      </c>
      <c r="F34" s="78" t="inlineStr">
        <is>
          <t>结束日期</t>
        </is>
      </c>
      <c r="G34" s="78" t="inlineStr">
        <is>
          <t>日期</t>
        </is>
      </c>
      <c r="H34" s="78" t="inlineStr">
        <is>
          <t>否</t>
        </is>
      </c>
      <c r="I34" s="78" t="inlineStr"/>
    </row>
    <row r="35" ht="22" customHeight="1">
      <c r="A35" s="78" t="n">
        <v>34</v>
      </c>
      <c r="B35" s="78" t="inlineStr">
        <is>
          <t>商务信息</t>
        </is>
      </c>
      <c r="C35" s="78" t="inlineStr">
        <is>
          <t>项目</t>
        </is>
      </c>
      <c r="D35" s="78" t="inlineStr">
        <is>
          <t>主表</t>
        </is>
      </c>
      <c r="E35" s="78" t="inlineStr">
        <is>
          <t>status</t>
        </is>
      </c>
      <c r="F35" s="78" t="inlineStr">
        <is>
          <t>状态</t>
        </is>
      </c>
      <c r="G35" s="78" t="inlineStr">
        <is>
          <t>文本</t>
        </is>
      </c>
      <c r="H35" s="78" t="inlineStr">
        <is>
          <t>否</t>
        </is>
      </c>
      <c r="I35" s="78" t="inlineStr">
        <is>
          <t>进行中 / 已完成 / 已终止</t>
        </is>
      </c>
    </row>
    <row r="36" ht="22" customHeight="1">
      <c r="A36" s="78" t="n">
        <v>35</v>
      </c>
      <c r="B36" s="78" t="inlineStr">
        <is>
          <t>商务信息</t>
        </is>
      </c>
      <c r="C36" s="78" t="inlineStr">
        <is>
          <t>项目</t>
        </is>
      </c>
      <c r="D36" s="78" t="inlineStr">
        <is>
          <t>主表</t>
        </is>
      </c>
      <c r="E36" s="78" t="inlineStr">
        <is>
          <t>remark</t>
        </is>
      </c>
      <c r="F36" s="78" t="inlineStr">
        <is>
          <t>备注</t>
        </is>
      </c>
      <c r="G36" s="78" t="inlineStr">
        <is>
          <t>文本</t>
        </is>
      </c>
      <c r="H36" s="78" t="inlineStr">
        <is>
          <t>否</t>
        </is>
      </c>
      <c r="I36" s="78" t="inlineStr"/>
    </row>
    <row r="37" ht="22" customHeight="1">
      <c r="A37" s="78" t="n">
        <v>36</v>
      </c>
      <c r="B37" s="78" t="inlineStr">
        <is>
          <t>采购计划</t>
        </is>
      </c>
      <c r="C37" s="78" t="inlineStr">
        <is>
          <t>采购计划</t>
        </is>
      </c>
      <c r="D37" s="78" t="inlineStr">
        <is>
          <t>主表</t>
        </is>
      </c>
      <c r="E37" s="78" t="inlineStr">
        <is>
          <t>plan_month</t>
        </is>
      </c>
      <c r="F37" s="78" t="inlineStr">
        <is>
          <t>计划月份</t>
        </is>
      </c>
      <c r="G37" s="78" t="inlineStr">
        <is>
          <t>文本</t>
        </is>
      </c>
      <c r="H37" s="78" t="inlineStr">
        <is>
          <t>否</t>
        </is>
      </c>
      <c r="I37" s="78" t="inlineStr"/>
    </row>
    <row r="38" ht="22" customHeight="1">
      <c r="A38" s="78" t="n">
        <v>37</v>
      </c>
      <c r="B38" s="78" t="inlineStr">
        <is>
          <t>采购计划</t>
        </is>
      </c>
      <c r="C38" s="78" t="inlineStr">
        <is>
          <t>采购计划</t>
        </is>
      </c>
      <c r="D38" s="78" t="inlineStr">
        <is>
          <t>主表</t>
        </is>
      </c>
      <c r="E38" s="78" t="inlineStr">
        <is>
          <t>purchase_seq</t>
        </is>
      </c>
      <c r="F38" s="78" t="inlineStr">
        <is>
          <t>采购序号</t>
        </is>
      </c>
      <c r="G38" s="78" t="inlineStr">
        <is>
          <t>文本</t>
        </is>
      </c>
      <c r="H38" s="78" t="inlineStr">
        <is>
          <t>否</t>
        </is>
      </c>
      <c r="I38" s="78" t="inlineStr"/>
    </row>
    <row r="39" ht="22" customHeight="1">
      <c r="A39" s="78" t="n">
        <v>38</v>
      </c>
      <c r="B39" s="78" t="inlineStr">
        <is>
          <t>采购计划</t>
        </is>
      </c>
      <c r="C39" s="78" t="inlineStr">
        <is>
          <t>采购计划</t>
        </is>
      </c>
      <c r="D39" s="78" t="inlineStr">
        <is>
          <t>主表</t>
        </is>
      </c>
      <c r="E39" s="78" t="inlineStr">
        <is>
          <t>material_code</t>
        </is>
      </c>
      <c r="F39" s="78" t="inlineStr">
        <is>
          <t>物料编号</t>
        </is>
      </c>
      <c r="G39" s="78" t="inlineStr">
        <is>
          <t>文本</t>
        </is>
      </c>
      <c r="H39" s="78" t="inlineStr">
        <is>
          <t>是</t>
        </is>
      </c>
      <c r="I39" s="78" t="inlineStr">
        <is>
          <t>公司内唯一；编辑时不可改</t>
        </is>
      </c>
    </row>
    <row r="40" ht="22" customHeight="1">
      <c r="A40" s="78" t="n">
        <v>39</v>
      </c>
      <c r="B40" s="78" t="inlineStr">
        <is>
          <t>采购计划</t>
        </is>
      </c>
      <c r="C40" s="78" t="inlineStr">
        <is>
          <t>采购计划</t>
        </is>
      </c>
      <c r="D40" s="78" t="inlineStr">
        <is>
          <t>主表</t>
        </is>
      </c>
      <c r="E40" s="78" t="inlineStr">
        <is>
          <t>plan_no</t>
        </is>
      </c>
      <c r="F40" s="78" t="inlineStr">
        <is>
          <t>采购计划单号</t>
        </is>
      </c>
      <c r="G40" s="78" t="inlineStr">
        <is>
          <t>文本</t>
        </is>
      </c>
      <c r="H40" s="78" t="inlineStr">
        <is>
          <t>否</t>
        </is>
      </c>
      <c r="I40" s="78" t="inlineStr"/>
    </row>
    <row r="41" ht="22" customHeight="1">
      <c r="A41" s="78" t="n">
        <v>40</v>
      </c>
      <c r="B41" s="78" t="inlineStr">
        <is>
          <t>采购计划</t>
        </is>
      </c>
      <c r="C41" s="78" t="inlineStr">
        <is>
          <t>采购计划</t>
        </is>
      </c>
      <c r="D41" s="78" t="inlineStr">
        <is>
          <t>主表</t>
        </is>
      </c>
      <c r="E41" s="78" t="inlineStr">
        <is>
          <t>category</t>
        </is>
      </c>
      <c r="F41" s="78" t="inlineStr">
        <is>
          <t>使用设备</t>
        </is>
      </c>
      <c r="G41" s="78" t="inlineStr">
        <is>
          <t>文本</t>
        </is>
      </c>
      <c r="H41" s="78" t="inlineStr">
        <is>
          <t>否</t>
        </is>
      </c>
      <c r="I41" s="78" t="inlineStr"/>
    </row>
    <row r="42" ht="22" customHeight="1">
      <c r="A42" s="78" t="n">
        <v>41</v>
      </c>
      <c r="B42" s="78" t="inlineStr">
        <is>
          <t>采购计划</t>
        </is>
      </c>
      <c r="C42" s="78" t="inlineStr">
        <is>
          <t>采购计划</t>
        </is>
      </c>
      <c r="D42" s="78" t="inlineStr">
        <is>
          <t>主表</t>
        </is>
      </c>
      <c r="E42" s="78" t="inlineStr">
        <is>
          <t>name_cn</t>
        </is>
      </c>
      <c r="F42" s="78" t="inlineStr">
        <is>
          <t>中文名称</t>
        </is>
      </c>
      <c r="G42" s="78" t="inlineStr">
        <is>
          <t>文本</t>
        </is>
      </c>
      <c r="H42" s="78" t="inlineStr">
        <is>
          <t>是</t>
        </is>
      </c>
      <c r="I42" s="78" t="inlineStr"/>
    </row>
    <row r="43" ht="22" customHeight="1">
      <c r="A43" s="78" t="n">
        <v>42</v>
      </c>
      <c r="B43" s="78" t="inlineStr">
        <is>
          <t>采购计划</t>
        </is>
      </c>
      <c r="C43" s="78" t="inlineStr">
        <is>
          <t>采购计划</t>
        </is>
      </c>
      <c r="D43" s="78" t="inlineStr">
        <is>
          <t>主表</t>
        </is>
      </c>
      <c r="E43" s="78" t="inlineStr">
        <is>
          <t>name_en</t>
        </is>
      </c>
      <c r="F43" s="78" t="inlineStr">
        <is>
          <t>英文名称</t>
        </is>
      </c>
      <c r="G43" s="78" t="inlineStr">
        <is>
          <t>文本</t>
        </is>
      </c>
      <c r="H43" s="78" t="inlineStr">
        <is>
          <t>否</t>
        </is>
      </c>
      <c r="I43" s="78" t="inlineStr"/>
    </row>
    <row r="44" ht="22" customHeight="1">
      <c r="A44" s="78" t="n">
        <v>43</v>
      </c>
      <c r="B44" s="78" t="inlineStr">
        <is>
          <t>采购计划</t>
        </is>
      </c>
      <c r="C44" s="78" t="inlineStr">
        <is>
          <t>采购计划</t>
        </is>
      </c>
      <c r="D44" s="78" t="inlineStr">
        <is>
          <t>主表</t>
        </is>
      </c>
      <c r="E44" s="78" t="inlineStr">
        <is>
          <t>spec</t>
        </is>
      </c>
      <c r="F44" s="78" t="inlineStr">
        <is>
          <t>规格型号</t>
        </is>
      </c>
      <c r="G44" s="78" t="inlineStr">
        <is>
          <t>文本</t>
        </is>
      </c>
      <c r="H44" s="78" t="inlineStr">
        <is>
          <t>否</t>
        </is>
      </c>
      <c r="I44" s="78" t="inlineStr"/>
    </row>
    <row r="45" ht="22" customHeight="1">
      <c r="A45" s="78" t="n">
        <v>44</v>
      </c>
      <c r="B45" s="78" t="inlineStr">
        <is>
          <t>采购计划</t>
        </is>
      </c>
      <c r="C45" s="78" t="inlineStr">
        <is>
          <t>采购计划</t>
        </is>
      </c>
      <c r="D45" s="78" t="inlineStr">
        <is>
          <t>主表</t>
        </is>
      </c>
      <c r="E45" s="78" t="inlineStr">
        <is>
          <t>unit</t>
        </is>
      </c>
      <c r="F45" s="78" t="inlineStr">
        <is>
          <t>单位</t>
        </is>
      </c>
      <c r="G45" s="78" t="inlineStr">
        <is>
          <t>文本</t>
        </is>
      </c>
      <c r="H45" s="78" t="inlineStr">
        <is>
          <t>否</t>
        </is>
      </c>
      <c r="I45" s="78" t="inlineStr"/>
    </row>
    <row r="46" ht="22" customHeight="1">
      <c r="A46" s="78" t="n">
        <v>45</v>
      </c>
      <c r="B46" s="78" t="inlineStr">
        <is>
          <t>采购计划</t>
        </is>
      </c>
      <c r="C46" s="78" t="inlineStr">
        <is>
          <t>采购计划</t>
        </is>
      </c>
      <c r="D46" s="78" t="inlineStr">
        <is>
          <t>主表</t>
        </is>
      </c>
      <c r="E46" s="78" t="inlineStr">
        <is>
          <t>qty</t>
        </is>
      </c>
      <c r="F46" s="78" t="inlineStr">
        <is>
          <t>采购数量</t>
        </is>
      </c>
      <c r="G46" s="78" t="inlineStr">
        <is>
          <t>文本</t>
        </is>
      </c>
      <c r="H46" s="78" t="inlineStr">
        <is>
          <t>是</t>
        </is>
      </c>
      <c r="I46" s="78" t="inlineStr">
        <is>
          <t>修改后不能小于已采购数量</t>
        </is>
      </c>
    </row>
    <row r="47" ht="22" customHeight="1">
      <c r="A47" s="78" t="n">
        <v>46</v>
      </c>
      <c r="B47" s="78" t="inlineStr">
        <is>
          <t>采购计划</t>
        </is>
      </c>
      <c r="C47" s="78" t="inlineStr">
        <is>
          <t>采购计划</t>
        </is>
      </c>
      <c r="D47" s="78" t="inlineStr">
        <is>
          <t>主表</t>
        </is>
      </c>
      <c r="E47" s="78" t="inlineStr">
        <is>
          <t>purpose</t>
        </is>
      </c>
      <c r="F47" s="78" t="inlineStr">
        <is>
          <t>用途</t>
        </is>
      </c>
      <c r="G47" s="78" t="inlineStr">
        <is>
          <t>文本</t>
        </is>
      </c>
      <c r="H47" s="78" t="inlineStr">
        <is>
          <t>否</t>
        </is>
      </c>
      <c r="I47" s="78" t="inlineStr"/>
    </row>
    <row r="48" ht="22" customHeight="1">
      <c r="A48" s="78" t="n">
        <v>47</v>
      </c>
      <c r="B48" s="78" t="inlineStr">
        <is>
          <t>采购计划</t>
        </is>
      </c>
      <c r="C48" s="78" t="inlineStr">
        <is>
          <t>采购计划</t>
        </is>
      </c>
      <c r="D48" s="78" t="inlineStr">
        <is>
          <t>主表</t>
        </is>
      </c>
      <c r="E48" s="78" t="inlineStr">
        <is>
          <t>use_dept</t>
        </is>
      </c>
      <c r="F48" s="78" t="inlineStr">
        <is>
          <t>使用部门</t>
        </is>
      </c>
      <c r="G48" s="78" t="inlineStr">
        <is>
          <t>文本</t>
        </is>
      </c>
      <c r="H48" s="78" t="inlineStr">
        <is>
          <t>否</t>
        </is>
      </c>
      <c r="I48" s="78" t="inlineStr"/>
    </row>
    <row r="49" ht="22" customHeight="1">
      <c r="A49" s="78" t="n">
        <v>48</v>
      </c>
      <c r="B49" s="78" t="inlineStr">
        <is>
          <t>采购计划</t>
        </is>
      </c>
      <c r="C49" s="78" t="inlineStr">
        <is>
          <t>采购计划</t>
        </is>
      </c>
      <c r="D49" s="78" t="inlineStr">
        <is>
          <t>主表</t>
        </is>
      </c>
      <c r="E49" s="78" t="inlineStr">
        <is>
          <t>stock_qty</t>
        </is>
      </c>
      <c r="F49" s="78" t="inlineStr">
        <is>
          <t>库存数量</t>
        </is>
      </c>
      <c r="G49" s="78" t="inlineStr">
        <is>
          <t>文本</t>
        </is>
      </c>
      <c r="H49" s="78" t="inlineStr">
        <is>
          <t>否</t>
        </is>
      </c>
      <c r="I49" s="78" t="inlineStr"/>
    </row>
    <row r="50" ht="22" customHeight="1">
      <c r="A50" s="78" t="n">
        <v>49</v>
      </c>
      <c r="B50" s="78" t="inlineStr">
        <is>
          <t>采购计划</t>
        </is>
      </c>
      <c r="C50" s="78" t="inlineStr">
        <is>
          <t>采购计划</t>
        </is>
      </c>
      <c r="D50" s="78" t="inlineStr">
        <is>
          <t>主表</t>
        </is>
      </c>
      <c r="E50" s="78" t="inlineStr">
        <is>
          <t>transit_qty</t>
        </is>
      </c>
      <c r="F50" s="78" t="inlineStr">
        <is>
          <t>在途数量</t>
        </is>
      </c>
      <c r="G50" s="78" t="inlineStr">
        <is>
          <t>文本</t>
        </is>
      </c>
      <c r="H50" s="78" t="inlineStr">
        <is>
          <t>否</t>
        </is>
      </c>
      <c r="I50" s="78" t="inlineStr"/>
    </row>
    <row r="51" ht="22" customHeight="1">
      <c r="A51" s="78" t="n">
        <v>50</v>
      </c>
      <c r="B51" s="78" t="inlineStr">
        <is>
          <t>采购计划</t>
        </is>
      </c>
      <c r="C51" s="78" t="inlineStr">
        <is>
          <t>采购计划</t>
        </is>
      </c>
      <c r="D51" s="78" t="inlineStr">
        <is>
          <t>主表</t>
        </is>
      </c>
      <c r="E51" s="78" t="inlineStr">
        <is>
          <t>consume_4m</t>
        </is>
      </c>
      <c r="F51" s="78" t="inlineStr">
        <is>
          <t>4个月消耗量</t>
        </is>
      </c>
      <c r="G51" s="78" t="inlineStr">
        <is>
          <t>文本</t>
        </is>
      </c>
      <c r="H51" s="78" t="inlineStr">
        <is>
          <t>否</t>
        </is>
      </c>
      <c r="I51" s="78" t="inlineStr"/>
    </row>
    <row r="52" ht="22" customHeight="1">
      <c r="A52" s="78" t="n">
        <v>51</v>
      </c>
      <c r="B52" s="78" t="inlineStr">
        <is>
          <t>采购计划</t>
        </is>
      </c>
      <c r="C52" s="78" t="inlineStr">
        <is>
          <t>采购计划</t>
        </is>
      </c>
      <c r="D52" s="78" t="inlineStr">
        <is>
          <t>主表</t>
        </is>
      </c>
      <c r="E52" s="78" t="inlineStr">
        <is>
          <t>remark</t>
        </is>
      </c>
      <c r="F52" s="78" t="inlineStr">
        <is>
          <t>备注</t>
        </is>
      </c>
      <c r="G52" s="78" t="inlineStr">
        <is>
          <t>文本</t>
        </is>
      </c>
      <c r="H52" s="78" t="inlineStr">
        <is>
          <t>否</t>
        </is>
      </c>
      <c r="I52" s="78" t="inlineStr"/>
    </row>
    <row r="53" ht="22" customHeight="1">
      <c r="A53" s="78" t="n">
        <v>52</v>
      </c>
      <c r="B53" s="78" t="inlineStr">
        <is>
          <t>合同</t>
        </is>
      </c>
      <c r="C53" s="78" t="inlineStr">
        <is>
          <t>采购合同</t>
        </is>
      </c>
      <c r="D53" s="78" t="inlineStr">
        <is>
          <t>主表</t>
        </is>
      </c>
      <c r="E53" s="78" t="inlineStr">
        <is>
          <t>contract_code</t>
        </is>
      </c>
      <c r="F53" s="78" t="inlineStr">
        <is>
          <t>合同编号</t>
        </is>
      </c>
      <c r="G53" s="78" t="inlineStr">
        <is>
          <t>文本</t>
        </is>
      </c>
      <c r="H53" s="78" t="inlineStr">
        <is>
          <t>否</t>
        </is>
      </c>
      <c r="I53" s="78" t="inlineStr">
        <is>
          <t>留空按编号规则生成；保存后不改</t>
        </is>
      </c>
    </row>
    <row r="54" ht="22" customHeight="1">
      <c r="A54" s="78" t="n">
        <v>53</v>
      </c>
      <c r="B54" s="78" t="inlineStr">
        <is>
          <t>合同</t>
        </is>
      </c>
      <c r="C54" s="78" t="inlineStr">
        <is>
          <t>采购合同</t>
        </is>
      </c>
      <c r="D54" s="78" t="inlineStr">
        <is>
          <t>主表</t>
        </is>
      </c>
      <c r="E54" s="78" t="inlineStr">
        <is>
          <t>name</t>
        </is>
      </c>
      <c r="F54" s="78" t="inlineStr">
        <is>
          <t>合同名称</t>
        </is>
      </c>
      <c r="G54" s="78" t="inlineStr">
        <is>
          <t>文本</t>
        </is>
      </c>
      <c r="H54" s="78" t="inlineStr">
        <is>
          <t>是</t>
        </is>
      </c>
      <c r="I54" s="78" t="inlineStr"/>
    </row>
    <row r="55" ht="22" customHeight="1">
      <c r="A55" s="78" t="n">
        <v>54</v>
      </c>
      <c r="B55" s="78" t="inlineStr">
        <is>
          <t>合同</t>
        </is>
      </c>
      <c r="C55" s="78" t="inlineStr">
        <is>
          <t>采购合同</t>
        </is>
      </c>
      <c r="D55" s="78" t="inlineStr">
        <is>
          <t>主表</t>
        </is>
      </c>
      <c r="E55" s="78" t="inlineStr">
        <is>
          <t>nature</t>
        </is>
      </c>
      <c r="F55" s="78" t="inlineStr">
        <is>
          <t>合同性质</t>
        </is>
      </c>
      <c r="G55" s="78" t="inlineStr">
        <is>
          <t>文本</t>
        </is>
      </c>
      <c r="H55" s="78" t="inlineStr">
        <is>
          <t>是</t>
        </is>
      </c>
      <c r="I55" s="78" t="inlineStr">
        <is>
          <t>main 主合同 / supplement 补充协议</t>
        </is>
      </c>
    </row>
    <row r="56" ht="22" customHeight="1">
      <c r="A56" s="78" t="n">
        <v>55</v>
      </c>
      <c r="B56" s="78" t="inlineStr">
        <is>
          <t>合同</t>
        </is>
      </c>
      <c r="C56" s="78" t="inlineStr">
        <is>
          <t>采购合同</t>
        </is>
      </c>
      <c r="D56" s="78" t="inlineStr">
        <is>
          <t>主表</t>
        </is>
      </c>
      <c r="E56" s="78" t="inlineStr">
        <is>
          <t>direction</t>
        </is>
      </c>
      <c r="F56" s="78" t="inlineStr">
        <is>
          <t>方向</t>
        </is>
      </c>
      <c r="G56" s="78" t="inlineStr">
        <is>
          <t>文本</t>
        </is>
      </c>
      <c r="H56" s="78" t="inlineStr">
        <is>
          <t>是</t>
        </is>
      </c>
      <c r="I56" s="78" t="inlineStr">
        <is>
          <t>purchase</t>
        </is>
      </c>
    </row>
    <row r="57" ht="22" customHeight="1">
      <c r="A57" s="78" t="n">
        <v>56</v>
      </c>
      <c r="B57" s="78" t="inlineStr">
        <is>
          <t>合同</t>
        </is>
      </c>
      <c r="C57" s="78" t="inlineStr">
        <is>
          <t>采购合同</t>
        </is>
      </c>
      <c r="D57" s="78" t="inlineStr">
        <is>
          <t>主表</t>
        </is>
      </c>
      <c r="E57" s="78" t="inlineStr">
        <is>
          <t>type_name</t>
        </is>
      </c>
      <c r="F57" s="78" t="inlineStr">
        <is>
          <t>合同类型</t>
        </is>
      </c>
      <c r="G57" s="78" t="inlineStr">
        <is>
          <t>文本</t>
        </is>
      </c>
      <c r="H57" s="78" t="inlineStr">
        <is>
          <t>否</t>
        </is>
      </c>
      <c r="I57" s="78" t="inlineStr">
        <is>
          <t>基础资料合同类型</t>
        </is>
      </c>
    </row>
    <row r="58" ht="22" customHeight="1">
      <c r="A58" s="78" t="n">
        <v>57</v>
      </c>
      <c r="B58" s="78" t="inlineStr">
        <is>
          <t>合同</t>
        </is>
      </c>
      <c r="C58" s="78" t="inlineStr">
        <is>
          <t>采购合同</t>
        </is>
      </c>
      <c r="D58" s="78" t="inlineStr">
        <is>
          <t>主表</t>
        </is>
      </c>
      <c r="E58" s="78" t="inlineStr">
        <is>
          <t>party_id</t>
        </is>
      </c>
      <c r="F58" s="78" t="inlineStr">
        <is>
          <t>供应商ID</t>
        </is>
      </c>
      <c r="G58" s="78" t="inlineStr">
        <is>
          <t>整数</t>
        </is>
      </c>
      <c r="H58" s="78" t="inlineStr">
        <is>
          <t>是</t>
        </is>
      </c>
      <c r="I58" s="78" t="inlineStr">
        <is>
          <t>客商 party_id</t>
        </is>
      </c>
    </row>
    <row r="59" ht="22" customHeight="1">
      <c r="A59" s="78" t="n">
        <v>58</v>
      </c>
      <c r="B59" s="78" t="inlineStr">
        <is>
          <t>合同</t>
        </is>
      </c>
      <c r="C59" s="78" t="inlineStr">
        <is>
          <t>采购合同</t>
        </is>
      </c>
      <c r="D59" s="78" t="inlineStr">
        <is>
          <t>主表</t>
        </is>
      </c>
      <c r="E59" s="78" t="inlineStr">
        <is>
          <t>party_name</t>
        </is>
      </c>
      <c r="F59" s="78" t="inlineStr">
        <is>
          <t>供应商名称</t>
        </is>
      </c>
      <c r="G59" s="78" t="inlineStr">
        <is>
          <t>文本</t>
        </is>
      </c>
      <c r="H59" s="78" t="inlineStr">
        <is>
          <t>否</t>
        </is>
      </c>
      <c r="I59" s="78" t="inlineStr">
        <is>
          <t>保存时快照</t>
        </is>
      </c>
    </row>
    <row r="60" ht="22" customHeight="1">
      <c r="A60" s="78" t="n">
        <v>59</v>
      </c>
      <c r="B60" s="78" t="inlineStr">
        <is>
          <t>合同</t>
        </is>
      </c>
      <c r="C60" s="78" t="inlineStr">
        <is>
          <t>采购合同</t>
        </is>
      </c>
      <c r="D60" s="78" t="inlineStr">
        <is>
          <t>主表</t>
        </is>
      </c>
      <c r="E60" s="78" t="inlineStr">
        <is>
          <t>party_tax_no</t>
        </is>
      </c>
      <c r="F60" s="78" t="inlineStr">
        <is>
          <t>供应商税号</t>
        </is>
      </c>
      <c r="G60" s="78" t="inlineStr">
        <is>
          <t>文本</t>
        </is>
      </c>
      <c r="H60" s="78" t="inlineStr">
        <is>
          <t>否</t>
        </is>
      </c>
      <c r="I60" s="78" t="inlineStr">
        <is>
          <t>快照</t>
        </is>
      </c>
    </row>
    <row r="61" ht="22" customHeight="1">
      <c r="A61" s="78" t="n">
        <v>60</v>
      </c>
      <c r="B61" s="78" t="inlineStr">
        <is>
          <t>合同</t>
        </is>
      </c>
      <c r="C61" s="78" t="inlineStr">
        <is>
          <t>采购合同</t>
        </is>
      </c>
      <c r="D61" s="78" t="inlineStr">
        <is>
          <t>主表</t>
        </is>
      </c>
      <c r="E61" s="78" t="inlineStr">
        <is>
          <t>owner_id</t>
        </is>
      </c>
      <c r="F61" s="78" t="inlineStr">
        <is>
          <t>业务员</t>
        </is>
      </c>
      <c r="G61" s="78" t="inlineStr">
        <is>
          <t>文本</t>
        </is>
      </c>
      <c r="H61" s="78" t="inlineStr">
        <is>
          <t>是</t>
        </is>
      </c>
      <c r="I61" s="78" t="inlineStr">
        <is>
          <t>员工编号</t>
        </is>
      </c>
    </row>
    <row r="62" ht="22" customHeight="1">
      <c r="A62" s="78" t="n">
        <v>61</v>
      </c>
      <c r="B62" s="78" t="inlineStr">
        <is>
          <t>合同</t>
        </is>
      </c>
      <c r="C62" s="78" t="inlineStr">
        <is>
          <t>采购合同</t>
        </is>
      </c>
      <c r="D62" s="78" t="inlineStr">
        <is>
          <t>主表</t>
        </is>
      </c>
      <c r="E62" s="78" t="inlineStr">
        <is>
          <t>status</t>
        </is>
      </c>
      <c r="F62" s="78" t="inlineStr">
        <is>
          <t>合同状态</t>
        </is>
      </c>
      <c r="G62" s="78" t="inlineStr">
        <is>
          <t>文本</t>
        </is>
      </c>
      <c r="H62" s="78" t="inlineStr">
        <is>
          <t>是</t>
        </is>
      </c>
      <c r="I62" s="78" t="inlineStr">
        <is>
          <t>未签订 / 已签订 / 已终止</t>
        </is>
      </c>
    </row>
    <row r="63" ht="22" customHeight="1">
      <c r="A63" s="78" t="n">
        <v>62</v>
      </c>
      <c r="B63" s="78" t="inlineStr">
        <is>
          <t>合同</t>
        </is>
      </c>
      <c r="C63" s="78" t="inlineStr">
        <is>
          <t>采购合同</t>
        </is>
      </c>
      <c r="D63" s="78" t="inlineStr">
        <is>
          <t>主表</t>
        </is>
      </c>
      <c r="E63" s="78" t="inlineStr">
        <is>
          <t>archived</t>
        </is>
      </c>
      <c r="F63" s="78" t="inlineStr">
        <is>
          <t>归档状态</t>
        </is>
      </c>
      <c r="G63" s="78" t="inlineStr">
        <is>
          <t>是否</t>
        </is>
      </c>
      <c r="H63" s="78" t="inlineStr">
        <is>
          <t>否</t>
        </is>
      </c>
      <c r="I63" s="78" t="inlineStr">
        <is>
          <t>只读，恒为未归档</t>
        </is>
      </c>
    </row>
    <row r="64" ht="22" customHeight="1">
      <c r="A64" s="78" t="n">
        <v>63</v>
      </c>
      <c r="B64" s="78" t="inlineStr">
        <is>
          <t>合同</t>
        </is>
      </c>
      <c r="C64" s="78" t="inlineStr">
        <is>
          <t>采购合同</t>
        </is>
      </c>
      <c r="D64" s="78" t="inlineStr">
        <is>
          <t>主表</t>
        </is>
      </c>
      <c r="E64" s="78" t="inlineStr">
        <is>
          <t>project_id</t>
        </is>
      </c>
      <c r="F64" s="78" t="inlineStr">
        <is>
          <t>项目ID</t>
        </is>
      </c>
      <c r="G64" s="78" t="inlineStr">
        <is>
          <t>整数</t>
        </is>
      </c>
      <c r="H64" s="78" t="inlineStr">
        <is>
          <t>否</t>
        </is>
      </c>
      <c r="I64" s="78" t="inlineStr"/>
    </row>
    <row r="65" ht="22" customHeight="1">
      <c r="A65" s="78" t="n">
        <v>64</v>
      </c>
      <c r="B65" s="78" t="inlineStr">
        <is>
          <t>合同</t>
        </is>
      </c>
      <c r="C65" s="78" t="inlineStr">
        <is>
          <t>采购合同</t>
        </is>
      </c>
      <c r="D65" s="78" t="inlineStr">
        <is>
          <t>主表</t>
        </is>
      </c>
      <c r="E65" s="78" t="inlineStr">
        <is>
          <t>sign_date</t>
        </is>
      </c>
      <c r="F65" s="78" t="inlineStr">
        <is>
          <t>签订日期</t>
        </is>
      </c>
      <c r="G65" s="78" t="inlineStr">
        <is>
          <t>日期</t>
        </is>
      </c>
      <c r="H65" s="78" t="inlineStr">
        <is>
          <t>否</t>
        </is>
      </c>
      <c r="I65" s="78" t="inlineStr"/>
    </row>
    <row r="66" ht="22" customHeight="1">
      <c r="A66" s="78" t="n">
        <v>65</v>
      </c>
      <c r="B66" s="78" t="inlineStr">
        <is>
          <t>合同</t>
        </is>
      </c>
      <c r="C66" s="78" t="inlineStr">
        <is>
          <t>采购合同</t>
        </is>
      </c>
      <c r="D66" s="78" t="inlineStr">
        <is>
          <t>主表</t>
        </is>
      </c>
      <c r="E66" s="78" t="inlineStr">
        <is>
          <t>start_date</t>
        </is>
      </c>
      <c r="F66" s="78" t="inlineStr">
        <is>
          <t>开始日期</t>
        </is>
      </c>
      <c r="G66" s="78" t="inlineStr">
        <is>
          <t>日期</t>
        </is>
      </c>
      <c r="H66" s="78" t="inlineStr">
        <is>
          <t>否</t>
        </is>
      </c>
      <c r="I66" s="78" t="inlineStr"/>
    </row>
    <row r="67" ht="22" customHeight="1">
      <c r="A67" s="78" t="n">
        <v>66</v>
      </c>
      <c r="B67" s="78" t="inlineStr">
        <is>
          <t>合同</t>
        </is>
      </c>
      <c r="C67" s="78" t="inlineStr">
        <is>
          <t>采购合同</t>
        </is>
      </c>
      <c r="D67" s="78" t="inlineStr">
        <is>
          <t>主表</t>
        </is>
      </c>
      <c r="E67" s="78" t="inlineStr">
        <is>
          <t>end_date</t>
        </is>
      </c>
      <c r="F67" s="78" t="inlineStr">
        <is>
          <t>结束日期</t>
        </is>
      </c>
      <c r="G67" s="78" t="inlineStr">
        <is>
          <t>日期</t>
        </is>
      </c>
      <c r="H67" s="78" t="inlineStr">
        <is>
          <t>否</t>
        </is>
      </c>
      <c r="I67" s="78" t="inlineStr">
        <is>
          <t>到期提醒取此日期</t>
        </is>
      </c>
    </row>
    <row r="68" ht="22" customHeight="1">
      <c r="A68" s="78" t="n">
        <v>67</v>
      </c>
      <c r="B68" s="78" t="inlineStr">
        <is>
          <t>合同</t>
        </is>
      </c>
      <c r="C68" s="78" t="inlineStr">
        <is>
          <t>采购合同</t>
        </is>
      </c>
      <c r="D68" s="78" t="inlineStr">
        <is>
          <t>主表</t>
        </is>
      </c>
      <c r="E68" s="78" t="inlineStr">
        <is>
          <t>pricing</t>
        </is>
      </c>
      <c r="F68" s="78" t="inlineStr">
        <is>
          <t>计价方式</t>
        </is>
      </c>
      <c r="G68" s="78" t="inlineStr">
        <is>
          <t>文本</t>
        </is>
      </c>
      <c r="H68" s="78" t="inlineStr">
        <is>
          <t>是</t>
        </is>
      </c>
      <c r="I68" s="78" t="inlineStr">
        <is>
          <t>fixed 固定总价 / actual 按实结算</t>
        </is>
      </c>
    </row>
    <row r="69" ht="22" customHeight="1">
      <c r="A69" s="78" t="n">
        <v>68</v>
      </c>
      <c r="B69" s="78" t="inlineStr">
        <is>
          <t>合同</t>
        </is>
      </c>
      <c r="C69" s="78" t="inlineStr">
        <is>
          <t>采购合同</t>
        </is>
      </c>
      <c r="D69" s="78" t="inlineStr">
        <is>
          <t>主表</t>
        </is>
      </c>
      <c r="E69" s="78" t="inlineStr">
        <is>
          <t>tax_rate</t>
        </is>
      </c>
      <c r="F69" s="78" t="inlineStr">
        <is>
          <t>税率</t>
        </is>
      </c>
      <c r="G69" s="78" t="inlineStr">
        <is>
          <t>文本</t>
        </is>
      </c>
      <c r="H69" s="78" t="inlineStr">
        <is>
          <t>是</t>
        </is>
      </c>
      <c r="I69" s="78" t="inlineStr">
        <is>
          <t>百分比数值，13 表示 13%</t>
        </is>
      </c>
    </row>
    <row r="70" ht="22" customHeight="1">
      <c r="A70" s="78" t="n">
        <v>69</v>
      </c>
      <c r="B70" s="78" t="inlineStr">
        <is>
          <t>合同</t>
        </is>
      </c>
      <c r="C70" s="78" t="inlineStr">
        <is>
          <t>采购合同</t>
        </is>
      </c>
      <c r="D70" s="78" t="inlineStr">
        <is>
          <t>主表</t>
        </is>
      </c>
      <c r="E70" s="78" t="inlineStr">
        <is>
          <t>amount_manual</t>
        </is>
      </c>
      <c r="F70" s="78" t="inlineStr">
        <is>
          <t>手填合同金额</t>
        </is>
      </c>
      <c r="G70" s="78" t="inlineStr">
        <is>
          <t>文本</t>
        </is>
      </c>
      <c r="H70" s="78" t="inlineStr">
        <is>
          <t>否</t>
        </is>
      </c>
      <c r="I70" s="78" t="inlineStr">
        <is>
          <t>无明细时使用</t>
        </is>
      </c>
    </row>
    <row r="71" ht="22" customHeight="1">
      <c r="A71" s="78" t="n">
        <v>70</v>
      </c>
      <c r="B71" s="78" t="inlineStr">
        <is>
          <t>合同</t>
        </is>
      </c>
      <c r="C71" s="78" t="inlineStr">
        <is>
          <t>采购合同</t>
        </is>
      </c>
      <c r="D71" s="78" t="inlineStr">
        <is>
          <t>主表</t>
        </is>
      </c>
      <c r="E71" s="78" t="inlineStr">
        <is>
          <t>amount</t>
        </is>
      </c>
      <c r="F71" s="78" t="inlineStr">
        <is>
          <t>合同金额</t>
        </is>
      </c>
      <c r="G71" s="78" t="inlineStr">
        <is>
          <t>文本</t>
        </is>
      </c>
      <c r="H71" s="78" t="inlineStr">
        <is>
          <t>否</t>
        </is>
      </c>
      <c r="I71" s="78" t="inlineStr">
        <is>
          <t>服务端计算，含税</t>
        </is>
      </c>
    </row>
    <row r="72" ht="22" customHeight="1">
      <c r="A72" s="78" t="n">
        <v>71</v>
      </c>
      <c r="B72" s="78" t="inlineStr">
        <is>
          <t>合同</t>
        </is>
      </c>
      <c r="C72" s="78" t="inlineStr">
        <is>
          <t>采购合同</t>
        </is>
      </c>
      <c r="D72" s="78" t="inlineStr">
        <is>
          <t>主表</t>
        </is>
      </c>
      <c r="E72" s="78" t="inlineStr">
        <is>
          <t>amount_ex_tax</t>
        </is>
      </c>
      <c r="F72" s="78" t="inlineStr">
        <is>
          <t>不含税金额</t>
        </is>
      </c>
      <c r="G72" s="78" t="inlineStr">
        <is>
          <t>文本</t>
        </is>
      </c>
      <c r="H72" s="78" t="inlineStr">
        <is>
          <t>否</t>
        </is>
      </c>
      <c r="I72" s="78" t="inlineStr">
        <is>
          <t>服务端计算</t>
        </is>
      </c>
    </row>
    <row r="73" ht="22" customHeight="1">
      <c r="A73" s="78" t="n">
        <v>72</v>
      </c>
      <c r="B73" s="78" t="inlineStr">
        <is>
          <t>合同</t>
        </is>
      </c>
      <c r="C73" s="78" t="inlineStr">
        <is>
          <t>采购合同</t>
        </is>
      </c>
      <c r="D73" s="78" t="inlineStr">
        <is>
          <t>主表</t>
        </is>
      </c>
      <c r="E73" s="78" t="inlineStr">
        <is>
          <t>settled_sum</t>
        </is>
      </c>
      <c r="F73" s="78" t="inlineStr">
        <is>
          <t>已收/已付</t>
        </is>
      </c>
      <c r="G73" s="78" t="inlineStr">
        <is>
          <t>文本</t>
        </is>
      </c>
      <c r="H73" s="78" t="inlineStr">
        <is>
          <t>否</t>
        </is>
      </c>
      <c r="I73" s="78" t="inlineStr">
        <is>
          <t>收付款回写，只读</t>
        </is>
      </c>
    </row>
    <row r="74" ht="22" customHeight="1">
      <c r="A74" s="78" t="n">
        <v>73</v>
      </c>
      <c r="B74" s="78" t="inlineStr">
        <is>
          <t>合同</t>
        </is>
      </c>
      <c r="C74" s="78" t="inlineStr">
        <is>
          <t>采购合同</t>
        </is>
      </c>
      <c r="D74" s="78" t="inlineStr">
        <is>
          <t>主表</t>
        </is>
      </c>
      <c r="E74" s="78" t="inlineStr">
        <is>
          <t>content</t>
        </is>
      </c>
      <c r="F74" s="78" t="inlineStr">
        <is>
          <t>内容概述</t>
        </is>
      </c>
      <c r="G74" s="78" t="inlineStr">
        <is>
          <t>文本</t>
        </is>
      </c>
      <c r="H74" s="78" t="inlineStr">
        <is>
          <t>否</t>
        </is>
      </c>
      <c r="I74" s="78" t="inlineStr"/>
    </row>
    <row r="75" ht="22" customHeight="1">
      <c r="A75" s="78" t="n">
        <v>74</v>
      </c>
      <c r="B75" s="78" t="inlineStr">
        <is>
          <t>合同</t>
        </is>
      </c>
      <c r="C75" s="78" t="inlineStr">
        <is>
          <t>采购合同</t>
        </is>
      </c>
      <c r="D75" s="78" t="inlineStr">
        <is>
          <t>主表</t>
        </is>
      </c>
      <c r="E75" s="78" t="inlineStr">
        <is>
          <t>terms</t>
        </is>
      </c>
      <c r="F75" s="78" t="inlineStr">
        <is>
          <t>条款/付款条款</t>
        </is>
      </c>
      <c r="G75" s="78" t="inlineStr">
        <is>
          <t>文本</t>
        </is>
      </c>
      <c r="H75" s="78" t="inlineStr">
        <is>
          <t>否</t>
        </is>
      </c>
      <c r="I75" s="78" t="inlineStr">
        <is>
          <t>Word 模板使用</t>
        </is>
      </c>
    </row>
    <row r="76" ht="22" customHeight="1">
      <c r="A76" s="78" t="n">
        <v>75</v>
      </c>
      <c r="B76" s="78" t="inlineStr">
        <is>
          <t>合同</t>
        </is>
      </c>
      <c r="C76" s="78" t="inlineStr">
        <is>
          <t>采购合同</t>
        </is>
      </c>
      <c r="D76" s="78" t="inlineStr">
        <is>
          <t>主表</t>
        </is>
      </c>
      <c r="E76" s="78" t="inlineStr">
        <is>
          <t>subject_name</t>
        </is>
      </c>
      <c r="F76" s="78" t="inlineStr">
        <is>
          <t>标的名称</t>
        </is>
      </c>
      <c r="G76" s="78" t="inlineStr">
        <is>
          <t>文本</t>
        </is>
      </c>
      <c r="H76" s="78" t="inlineStr">
        <is>
          <t>否</t>
        </is>
      </c>
      <c r="I76" s="78" t="inlineStr"/>
    </row>
    <row r="77" ht="22" customHeight="1">
      <c r="A77" s="78" t="n">
        <v>76</v>
      </c>
      <c r="B77" s="78" t="inlineStr">
        <is>
          <t>合同</t>
        </is>
      </c>
      <c r="C77" s="78" t="inlineStr">
        <is>
          <t>采购合同</t>
        </is>
      </c>
      <c r="D77" s="78" t="inlineStr">
        <is>
          <t>主表</t>
        </is>
      </c>
      <c r="E77" s="78" t="inlineStr">
        <is>
          <t>ship_address</t>
        </is>
      </c>
      <c r="F77" s="78" t="inlineStr">
        <is>
          <t>收货地址</t>
        </is>
      </c>
      <c r="G77" s="78" t="inlineStr">
        <is>
          <t>文本</t>
        </is>
      </c>
      <c r="H77" s="78" t="inlineStr">
        <is>
          <t>否</t>
        </is>
      </c>
      <c r="I77" s="78" t="inlineStr"/>
    </row>
    <row r="78" ht="22" customHeight="1">
      <c r="A78" s="78" t="n">
        <v>77</v>
      </c>
      <c r="B78" s="78" t="inlineStr">
        <is>
          <t>合同</t>
        </is>
      </c>
      <c r="C78" s="78" t="inlineStr">
        <is>
          <t>采购合同</t>
        </is>
      </c>
      <c r="D78" s="78" t="inlineStr">
        <is>
          <t>主表</t>
        </is>
      </c>
      <c r="E78" s="78" t="inlineStr">
        <is>
          <t>contact_name</t>
        </is>
      </c>
      <c r="F78" s="78" t="inlineStr">
        <is>
          <t>联系人</t>
        </is>
      </c>
      <c r="G78" s="78" t="inlineStr">
        <is>
          <t>文本</t>
        </is>
      </c>
      <c r="H78" s="78" t="inlineStr">
        <is>
          <t>否</t>
        </is>
      </c>
      <c r="I78" s="78" t="inlineStr"/>
    </row>
    <row r="79" ht="22" customHeight="1">
      <c r="A79" s="78" t="n">
        <v>78</v>
      </c>
      <c r="B79" s="78" t="inlineStr">
        <is>
          <t>合同</t>
        </is>
      </c>
      <c r="C79" s="78" t="inlineStr">
        <is>
          <t>采购合同</t>
        </is>
      </c>
      <c r="D79" s="78" t="inlineStr">
        <is>
          <t>主表</t>
        </is>
      </c>
      <c r="E79" s="78" t="inlineStr">
        <is>
          <t>contact_phone</t>
        </is>
      </c>
      <c r="F79" s="78" t="inlineStr">
        <is>
          <t>联系电话</t>
        </is>
      </c>
      <c r="G79" s="78" t="inlineStr">
        <is>
          <t>文本</t>
        </is>
      </c>
      <c r="H79" s="78" t="inlineStr">
        <is>
          <t>否</t>
        </is>
      </c>
      <c r="I79" s="78" t="inlineStr"/>
    </row>
    <row r="80" ht="22" customHeight="1">
      <c r="A80" s="78" t="n">
        <v>79</v>
      </c>
      <c r="B80" s="78" t="inlineStr">
        <is>
          <t>合同</t>
        </is>
      </c>
      <c r="C80" s="78" t="inlineStr">
        <is>
          <t>采购合同</t>
        </is>
      </c>
      <c r="D80" s="78" t="inlineStr">
        <is>
          <t>主表</t>
        </is>
      </c>
      <c r="E80" s="78" t="inlineStr">
        <is>
          <t>party_bank_name</t>
        </is>
      </c>
      <c r="F80" s="78" t="inlineStr">
        <is>
          <t>对方开户银行</t>
        </is>
      </c>
      <c r="G80" s="78" t="inlineStr">
        <is>
          <t>文本</t>
        </is>
      </c>
      <c r="H80" s="78" t="inlineStr">
        <is>
          <t>否</t>
        </is>
      </c>
      <c r="I80" s="78" t="inlineStr">
        <is>
          <t>对方快照</t>
        </is>
      </c>
    </row>
    <row r="81" ht="22" customHeight="1">
      <c r="A81" s="78" t="n">
        <v>80</v>
      </c>
      <c r="B81" s="78" t="inlineStr">
        <is>
          <t>合同</t>
        </is>
      </c>
      <c r="C81" s="78" t="inlineStr">
        <is>
          <t>采购合同</t>
        </is>
      </c>
      <c r="D81" s="78" t="inlineStr">
        <is>
          <t>主表</t>
        </is>
      </c>
      <c r="E81" s="78" t="inlineStr">
        <is>
          <t>party_account_name</t>
        </is>
      </c>
      <c r="F81" s="78" t="inlineStr">
        <is>
          <t>对方账户名称</t>
        </is>
      </c>
      <c r="G81" s="78" t="inlineStr">
        <is>
          <t>文本</t>
        </is>
      </c>
      <c r="H81" s="78" t="inlineStr">
        <is>
          <t>否</t>
        </is>
      </c>
      <c r="I81" s="78" t="inlineStr">
        <is>
          <t>对方快照</t>
        </is>
      </c>
    </row>
    <row r="82" ht="22" customHeight="1">
      <c r="A82" s="78" t="n">
        <v>81</v>
      </c>
      <c r="B82" s="78" t="inlineStr">
        <is>
          <t>合同</t>
        </is>
      </c>
      <c r="C82" s="78" t="inlineStr">
        <is>
          <t>采购合同</t>
        </is>
      </c>
      <c r="D82" s="78" t="inlineStr">
        <is>
          <t>主表</t>
        </is>
      </c>
      <c r="E82" s="78" t="inlineStr">
        <is>
          <t>party_bank_account</t>
        </is>
      </c>
      <c r="F82" s="78" t="inlineStr">
        <is>
          <t>对方银行账号</t>
        </is>
      </c>
      <c r="G82" s="78" t="inlineStr">
        <is>
          <t>文本</t>
        </is>
      </c>
      <c r="H82" s="78" t="inlineStr">
        <is>
          <t>否</t>
        </is>
      </c>
      <c r="I82" s="78" t="inlineStr">
        <is>
          <t>对方快照</t>
        </is>
      </c>
    </row>
    <row r="83" ht="22" customHeight="1">
      <c r="A83" s="78" t="n">
        <v>82</v>
      </c>
      <c r="B83" s="78" t="inlineStr">
        <is>
          <t>合同</t>
        </is>
      </c>
      <c r="C83" s="78" t="inlineStr">
        <is>
          <t>采购合同</t>
        </is>
      </c>
      <c r="D83" s="78" t="inlineStr">
        <is>
          <t>主表</t>
        </is>
      </c>
      <c r="E83" s="78" t="inlineStr">
        <is>
          <t>party_bank_branch</t>
        </is>
      </c>
      <c r="F83" s="78" t="inlineStr">
        <is>
          <t>对方开户支行</t>
        </is>
      </c>
      <c r="G83" s="78" t="inlineStr">
        <is>
          <t>文本</t>
        </is>
      </c>
      <c r="H83" s="78" t="inlineStr">
        <is>
          <t>否</t>
        </is>
      </c>
      <c r="I83" s="78" t="inlineStr">
        <is>
          <t>对方快照</t>
        </is>
      </c>
    </row>
    <row r="84" ht="22" customHeight="1">
      <c r="A84" s="78" t="n">
        <v>83</v>
      </c>
      <c r="B84" s="78" t="inlineStr">
        <is>
          <t>合同</t>
        </is>
      </c>
      <c r="C84" s="78" t="inlineStr">
        <is>
          <t>采购合同</t>
        </is>
      </c>
      <c r="D84" s="78" t="inlineStr">
        <is>
          <t>主表</t>
        </is>
      </c>
      <c r="E84" s="78" t="inlineStr">
        <is>
          <t>party_invoice_title</t>
        </is>
      </c>
      <c r="F84" s="78" t="inlineStr">
        <is>
          <t>对方开票名称</t>
        </is>
      </c>
      <c r="G84" s="78" t="inlineStr">
        <is>
          <t>文本</t>
        </is>
      </c>
      <c r="H84" s="78" t="inlineStr">
        <is>
          <t>否</t>
        </is>
      </c>
      <c r="I84" s="78" t="inlineStr">
        <is>
          <t>对方快照</t>
        </is>
      </c>
    </row>
    <row r="85" ht="22" customHeight="1">
      <c r="A85" s="78" t="n">
        <v>84</v>
      </c>
      <c r="B85" s="78" t="inlineStr">
        <is>
          <t>合同</t>
        </is>
      </c>
      <c r="C85" s="78" t="inlineStr">
        <is>
          <t>采购合同</t>
        </is>
      </c>
      <c r="D85" s="78" t="inlineStr">
        <is>
          <t>主表</t>
        </is>
      </c>
      <c r="E85" s="78" t="inlineStr">
        <is>
          <t>party_invoice_phone</t>
        </is>
      </c>
      <c r="F85" s="78" t="inlineStr">
        <is>
          <t>对方开票电话</t>
        </is>
      </c>
      <c r="G85" s="78" t="inlineStr">
        <is>
          <t>文本</t>
        </is>
      </c>
      <c r="H85" s="78" t="inlineStr">
        <is>
          <t>否</t>
        </is>
      </c>
      <c r="I85" s="78" t="inlineStr">
        <is>
          <t>对方快照</t>
        </is>
      </c>
    </row>
    <row r="86" ht="22" customHeight="1">
      <c r="A86" s="78" t="n">
        <v>85</v>
      </c>
      <c r="B86" s="78" t="inlineStr">
        <is>
          <t>合同</t>
        </is>
      </c>
      <c r="C86" s="78" t="inlineStr">
        <is>
          <t>采购合同</t>
        </is>
      </c>
      <c r="D86" s="78" t="inlineStr">
        <is>
          <t>主表</t>
        </is>
      </c>
      <c r="E86" s="78" t="inlineStr">
        <is>
          <t>party_invoice_address</t>
        </is>
      </c>
      <c r="F86" s="78" t="inlineStr">
        <is>
          <t>对方开票地址</t>
        </is>
      </c>
      <c r="G86" s="78" t="inlineStr">
        <is>
          <t>文本</t>
        </is>
      </c>
      <c r="H86" s="78" t="inlineStr">
        <is>
          <t>否</t>
        </is>
      </c>
      <c r="I86" s="78" t="inlineStr">
        <is>
          <t>对方快照</t>
        </is>
      </c>
    </row>
    <row r="87" ht="22" customHeight="1">
      <c r="A87" s="78" t="n">
        <v>86</v>
      </c>
      <c r="B87" s="78" t="inlineStr">
        <is>
          <t>合同</t>
        </is>
      </c>
      <c r="C87" s="78" t="inlineStr">
        <is>
          <t>采购合同</t>
        </is>
      </c>
      <c r="D87" s="78" t="inlineStr">
        <is>
          <t>主表</t>
        </is>
      </c>
      <c r="E87" s="78" t="inlineStr">
        <is>
          <t>party_address</t>
        </is>
      </c>
      <c r="F87" s="78" t="inlineStr">
        <is>
          <t>对方地址</t>
        </is>
      </c>
      <c r="G87" s="78" t="inlineStr">
        <is>
          <t>文本</t>
        </is>
      </c>
      <c r="H87" s="78" t="inlineStr">
        <is>
          <t>否</t>
        </is>
      </c>
      <c r="I87" s="78" t="inlineStr">
        <is>
          <t>对方快照</t>
        </is>
      </c>
    </row>
    <row r="88" ht="22" customHeight="1">
      <c r="A88" s="78" t="n">
        <v>87</v>
      </c>
      <c r="B88" s="78" t="inlineStr">
        <is>
          <t>合同</t>
        </is>
      </c>
      <c r="C88" s="78" t="inlineStr">
        <is>
          <t>采购合同</t>
        </is>
      </c>
      <c r="D88" s="78" t="inlineStr">
        <is>
          <t>主表</t>
        </is>
      </c>
      <c r="E88" s="78" t="inlineStr">
        <is>
          <t>party_legal_name</t>
        </is>
      </c>
      <c r="F88" s="78" t="inlineStr">
        <is>
          <t>对方法人</t>
        </is>
      </c>
      <c r="G88" s="78" t="inlineStr">
        <is>
          <t>文本</t>
        </is>
      </c>
      <c r="H88" s="78" t="inlineStr">
        <is>
          <t>否</t>
        </is>
      </c>
      <c r="I88" s="78" t="inlineStr">
        <is>
          <t>对方快照</t>
        </is>
      </c>
    </row>
    <row r="89" ht="22" customHeight="1">
      <c r="A89" s="78" t="n">
        <v>88</v>
      </c>
      <c r="B89" s="78" t="inlineStr">
        <is>
          <t>合同</t>
        </is>
      </c>
      <c r="C89" s="78" t="inlineStr">
        <is>
          <t>采购合同</t>
        </is>
      </c>
      <c r="D89" s="78" t="inlineStr">
        <is>
          <t>主表</t>
        </is>
      </c>
      <c r="E89" s="78" t="inlineStr">
        <is>
          <t>party_agent</t>
        </is>
      </c>
      <c r="F89" s="78" t="inlineStr">
        <is>
          <t>对方委托代理人</t>
        </is>
      </c>
      <c r="G89" s="78" t="inlineStr">
        <is>
          <t>文本</t>
        </is>
      </c>
      <c r="H89" s="78" t="inlineStr">
        <is>
          <t>否</t>
        </is>
      </c>
      <c r="I89" s="78" t="inlineStr">
        <is>
          <t>对方快照</t>
        </is>
      </c>
    </row>
    <row r="90" ht="22" customHeight="1">
      <c r="A90" s="78" t="n">
        <v>89</v>
      </c>
      <c r="B90" s="78" t="inlineStr">
        <is>
          <t>合同</t>
        </is>
      </c>
      <c r="C90" s="78" t="inlineStr">
        <is>
          <t>采购合同</t>
        </is>
      </c>
      <c r="D90" s="78" t="inlineStr">
        <is>
          <t>主表</t>
        </is>
      </c>
      <c r="E90" s="78" t="inlineStr">
        <is>
          <t>transport_mode</t>
        </is>
      </c>
      <c r="F90" s="78" t="inlineStr">
        <is>
          <t>运输方式</t>
        </is>
      </c>
      <c r="G90" s="78" t="inlineStr">
        <is>
          <t>文本</t>
        </is>
      </c>
      <c r="H90" s="78" t="inlineStr">
        <is>
          <t>否</t>
        </is>
      </c>
      <c r="I90" s="78" t="inlineStr"/>
    </row>
    <row r="91" ht="22" customHeight="1">
      <c r="A91" s="78" t="n">
        <v>90</v>
      </c>
      <c r="B91" s="78" t="inlineStr">
        <is>
          <t>合同</t>
        </is>
      </c>
      <c r="C91" s="78" t="inlineStr">
        <is>
          <t>采购合同</t>
        </is>
      </c>
      <c r="D91" s="78" t="inlineStr">
        <is>
          <t>主表</t>
        </is>
      </c>
      <c r="E91" s="78" t="inlineStr">
        <is>
          <t>delivery_term</t>
        </is>
      </c>
      <c r="F91" s="78" t="inlineStr">
        <is>
          <t>交货期限</t>
        </is>
      </c>
      <c r="G91" s="78" t="inlineStr">
        <is>
          <t>文本</t>
        </is>
      </c>
      <c r="H91" s="78" t="inlineStr">
        <is>
          <t>否</t>
        </is>
      </c>
      <c r="I91" s="78" t="inlineStr"/>
    </row>
    <row r="92" ht="22" customHeight="1">
      <c r="A92" s="78" t="n">
        <v>91</v>
      </c>
      <c r="B92" s="78" t="inlineStr">
        <is>
          <t>合同</t>
        </is>
      </c>
      <c r="C92" s="78" t="inlineStr">
        <is>
          <t>采购合同</t>
        </is>
      </c>
      <c r="D92" s="78" t="inlineStr">
        <is>
          <t>主表</t>
        </is>
      </c>
      <c r="E92" s="78" t="inlineStr">
        <is>
          <t>freight_bearer</t>
        </is>
      </c>
      <c r="F92" s="78" t="inlineStr">
        <is>
          <t>运费承担</t>
        </is>
      </c>
      <c r="G92" s="78" t="inlineStr">
        <is>
          <t>文本</t>
        </is>
      </c>
      <c r="H92" s="78" t="inlineStr">
        <is>
          <t>否</t>
        </is>
      </c>
      <c r="I92" s="78" t="inlineStr"/>
    </row>
    <row r="93" ht="22" customHeight="1">
      <c r="A93" s="78" t="n">
        <v>92</v>
      </c>
      <c r="B93" s="78" t="inlineStr">
        <is>
          <t>合同</t>
        </is>
      </c>
      <c r="C93" s="78" t="inlineStr">
        <is>
          <t>采购合同</t>
        </is>
      </c>
      <c r="D93" s="78" t="inlineStr">
        <is>
          <t>主表</t>
        </is>
      </c>
      <c r="E93" s="78" t="inlineStr">
        <is>
          <t>receiver_name</t>
        </is>
      </c>
      <c r="F93" s="78" t="inlineStr">
        <is>
          <t>收货人</t>
        </is>
      </c>
      <c r="G93" s="78" t="inlineStr">
        <is>
          <t>文本</t>
        </is>
      </c>
      <c r="H93" s="78" t="inlineStr">
        <is>
          <t>否</t>
        </is>
      </c>
      <c r="I93" s="78" t="inlineStr"/>
    </row>
    <row r="94" ht="22" customHeight="1">
      <c r="A94" s="78" t="n">
        <v>93</v>
      </c>
      <c r="B94" s="78" t="inlineStr">
        <is>
          <t>合同</t>
        </is>
      </c>
      <c r="C94" s="78" t="inlineStr">
        <is>
          <t>采购合同</t>
        </is>
      </c>
      <c r="D94" s="78" t="inlineStr">
        <is>
          <t>主表</t>
        </is>
      </c>
      <c r="E94" s="78" t="inlineStr">
        <is>
          <t>acceptance_text</t>
        </is>
      </c>
      <c r="F94" s="78" t="inlineStr">
        <is>
          <t>验收标准</t>
        </is>
      </c>
      <c r="G94" s="78" t="inlineStr">
        <is>
          <t>文本</t>
        </is>
      </c>
      <c r="H94" s="78" t="inlineStr">
        <is>
          <t>否</t>
        </is>
      </c>
      <c r="I94" s="78" t="inlineStr"/>
    </row>
    <row r="95" ht="22" customHeight="1">
      <c r="A95" s="78" t="n">
        <v>94</v>
      </c>
      <c r="B95" s="78" t="inlineStr">
        <is>
          <t>合同</t>
        </is>
      </c>
      <c r="C95" s="78" t="inlineStr">
        <is>
          <t>采购合同</t>
        </is>
      </c>
      <c r="D95" s="78" t="inlineStr">
        <is>
          <t>主表</t>
        </is>
      </c>
      <c r="E95" s="78" t="inlineStr">
        <is>
          <t>annex_note</t>
        </is>
      </c>
      <c r="F95" s="78" t="inlineStr">
        <is>
          <t>附件说明</t>
        </is>
      </c>
      <c r="G95" s="78" t="inlineStr">
        <is>
          <t>文本</t>
        </is>
      </c>
      <c r="H95" s="78" t="inlineStr">
        <is>
          <t>否</t>
        </is>
      </c>
      <c r="I95" s="78" t="inlineStr"/>
    </row>
    <row r="96" ht="22" customHeight="1">
      <c r="A96" s="78" t="n">
        <v>95</v>
      </c>
      <c r="B96" s="78" t="inlineStr">
        <is>
          <t>合同</t>
        </is>
      </c>
      <c r="C96" s="78" t="inlineStr">
        <is>
          <t>采购合同</t>
        </is>
      </c>
      <c r="D96" s="78" t="inlineStr">
        <is>
          <t>主表</t>
        </is>
      </c>
      <c r="E96" s="78" t="inlineStr">
        <is>
          <t>invoice_locked</t>
        </is>
      </c>
      <c r="F96" s="78" t="inlineStr">
        <is>
          <t>发票锁定</t>
        </is>
      </c>
      <c r="G96" s="78" t="inlineStr">
        <is>
          <t>是否</t>
        </is>
      </c>
      <c r="H96" s="78" t="inlineStr">
        <is>
          <t>否</t>
        </is>
      </c>
      <c r="I96" s="78" t="inlineStr">
        <is>
          <t>只读，超开时置位</t>
        </is>
      </c>
    </row>
    <row r="97" ht="22" customHeight="1">
      <c r="A97" s="78" t="n">
        <v>96</v>
      </c>
      <c r="B97" s="78" t="inlineStr">
        <is>
          <t>合同</t>
        </is>
      </c>
      <c r="C97" s="78" t="inlineStr">
        <is>
          <t>采购合同</t>
        </is>
      </c>
      <c r="D97" s="78" t="inlineStr">
        <is>
          <t>主表</t>
        </is>
      </c>
      <c r="E97" s="78" t="inlineStr">
        <is>
          <t>remark</t>
        </is>
      </c>
      <c r="F97" s="78" t="inlineStr">
        <is>
          <t>备注</t>
        </is>
      </c>
      <c r="G97" s="78" t="inlineStr">
        <is>
          <t>文本</t>
        </is>
      </c>
      <c r="H97" s="78" t="inlineStr">
        <is>
          <t>否</t>
        </is>
      </c>
      <c r="I97" s="78" t="inlineStr"/>
    </row>
    <row r="98" ht="22" customHeight="1">
      <c r="A98" s="78" t="n">
        <v>97</v>
      </c>
      <c r="B98" s="78" t="inlineStr">
        <is>
          <t>合同</t>
        </is>
      </c>
      <c r="C98" s="78" t="inlineStr">
        <is>
          <t>采购合同</t>
        </is>
      </c>
      <c r="D98" s="78" t="inlineStr">
        <is>
          <t>物料明细</t>
        </is>
      </c>
      <c r="E98" s="78" t="inlineStr">
        <is>
          <t>material_code</t>
        </is>
      </c>
      <c r="F98" s="78" t="inlineStr">
        <is>
          <t>物料编号</t>
        </is>
      </c>
      <c r="G98" s="78" t="inlineStr">
        <is>
          <t>文本</t>
        </is>
      </c>
      <c r="H98" s="78" t="inlineStr">
        <is>
          <t>是</t>
        </is>
      </c>
      <c r="I98" s="78" t="inlineStr">
        <is>
          <t>同一合同内唯一</t>
        </is>
      </c>
    </row>
    <row r="99" ht="22" customHeight="1">
      <c r="A99" s="78" t="n">
        <v>98</v>
      </c>
      <c r="B99" s="78" t="inlineStr">
        <is>
          <t>合同</t>
        </is>
      </c>
      <c r="C99" s="78" t="inlineStr">
        <is>
          <t>采购合同</t>
        </is>
      </c>
      <c r="D99" s="78" t="inlineStr">
        <is>
          <t>物料明细</t>
        </is>
      </c>
      <c r="E99" s="78" t="inlineStr">
        <is>
          <t>name_cn</t>
        </is>
      </c>
      <c r="F99" s="78" t="inlineStr">
        <is>
          <t>中文名称</t>
        </is>
      </c>
      <c r="G99" s="78" t="inlineStr">
        <is>
          <t>文本</t>
        </is>
      </c>
      <c r="H99" s="78" t="inlineStr">
        <is>
          <t>否</t>
        </is>
      </c>
      <c r="I99" s="78" t="inlineStr"/>
    </row>
    <row r="100" ht="22" customHeight="1">
      <c r="A100" s="78" t="n">
        <v>99</v>
      </c>
      <c r="B100" s="78" t="inlineStr">
        <is>
          <t>合同</t>
        </is>
      </c>
      <c r="C100" s="78" t="inlineStr">
        <is>
          <t>采购合同</t>
        </is>
      </c>
      <c r="D100" s="78" t="inlineStr">
        <is>
          <t>物料明细</t>
        </is>
      </c>
      <c r="E100" s="78" t="inlineStr">
        <is>
          <t>name_en</t>
        </is>
      </c>
      <c r="F100" s="78" t="inlineStr">
        <is>
          <t>英文名称</t>
        </is>
      </c>
      <c r="G100" s="78" t="inlineStr">
        <is>
          <t>文本</t>
        </is>
      </c>
      <c r="H100" s="78" t="inlineStr">
        <is>
          <t>否</t>
        </is>
      </c>
      <c r="I100" s="78" t="inlineStr"/>
    </row>
    <row r="101" ht="22" customHeight="1">
      <c r="A101" s="78" t="n">
        <v>100</v>
      </c>
      <c r="B101" s="78" t="inlineStr">
        <is>
          <t>合同</t>
        </is>
      </c>
      <c r="C101" s="78" t="inlineStr">
        <is>
          <t>采购合同</t>
        </is>
      </c>
      <c r="D101" s="78" t="inlineStr">
        <is>
          <t>物料明细</t>
        </is>
      </c>
      <c r="E101" s="78" t="inlineStr">
        <is>
          <t>spec</t>
        </is>
      </c>
      <c r="F101" s="78" t="inlineStr">
        <is>
          <t>规格</t>
        </is>
      </c>
      <c r="G101" s="78" t="inlineStr">
        <is>
          <t>文本</t>
        </is>
      </c>
      <c r="H101" s="78" t="inlineStr">
        <is>
          <t>否</t>
        </is>
      </c>
      <c r="I101" s="78" t="inlineStr"/>
    </row>
    <row r="102" ht="22" customHeight="1">
      <c r="A102" s="78" t="n">
        <v>101</v>
      </c>
      <c r="B102" s="78" t="inlineStr">
        <is>
          <t>合同</t>
        </is>
      </c>
      <c r="C102" s="78" t="inlineStr">
        <is>
          <t>采购合同</t>
        </is>
      </c>
      <c r="D102" s="78" t="inlineStr">
        <is>
          <t>物料明细</t>
        </is>
      </c>
      <c r="E102" s="78" t="inlineStr">
        <is>
          <t>unit</t>
        </is>
      </c>
      <c r="F102" s="78" t="inlineStr">
        <is>
          <t>单位</t>
        </is>
      </c>
      <c r="G102" s="78" t="inlineStr">
        <is>
          <t>文本</t>
        </is>
      </c>
      <c r="H102" s="78" t="inlineStr">
        <is>
          <t>否</t>
        </is>
      </c>
      <c r="I102" s="78" t="inlineStr"/>
    </row>
    <row r="103" ht="22" customHeight="1">
      <c r="A103" s="78" t="n">
        <v>102</v>
      </c>
      <c r="B103" s="78" t="inlineStr">
        <is>
          <t>合同</t>
        </is>
      </c>
      <c r="C103" s="78" t="inlineStr">
        <is>
          <t>采购合同</t>
        </is>
      </c>
      <c r="D103" s="78" t="inlineStr">
        <is>
          <t>物料明细</t>
        </is>
      </c>
      <c r="E103" s="78" t="inlineStr">
        <is>
          <t>qty</t>
        </is>
      </c>
      <c r="F103" s="78" t="inlineStr">
        <is>
          <t>数量</t>
        </is>
      </c>
      <c r="G103" s="78" t="inlineStr">
        <is>
          <t>文本</t>
        </is>
      </c>
      <c r="H103" s="78" t="inlineStr">
        <is>
          <t>是</t>
        </is>
      </c>
      <c r="I103" s="78" t="inlineStr">
        <is>
          <t>必须大于 0</t>
        </is>
      </c>
    </row>
    <row r="104" ht="22" customHeight="1">
      <c r="A104" s="78" t="n">
        <v>103</v>
      </c>
      <c r="B104" s="78" t="inlineStr">
        <is>
          <t>合同</t>
        </is>
      </c>
      <c r="C104" s="78" t="inlineStr">
        <is>
          <t>采购合同</t>
        </is>
      </c>
      <c r="D104" s="78" t="inlineStr">
        <is>
          <t>物料明细</t>
        </is>
      </c>
      <c r="E104" s="78" t="inlineStr">
        <is>
          <t>price</t>
        </is>
      </c>
      <c r="F104" s="78" t="inlineStr">
        <is>
          <t>含税单价</t>
        </is>
      </c>
      <c r="G104" s="78" t="inlineStr">
        <is>
          <t>文本</t>
        </is>
      </c>
      <c r="H104" s="78" t="inlineStr">
        <is>
          <t>是</t>
        </is>
      </c>
      <c r="I104" s="78" t="inlineStr">
        <is>
          <t>不能小于 0</t>
        </is>
      </c>
    </row>
    <row r="105" ht="22" customHeight="1">
      <c r="A105" s="78" t="n">
        <v>104</v>
      </c>
      <c r="B105" s="78" t="inlineStr">
        <is>
          <t>合同</t>
        </is>
      </c>
      <c r="C105" s="78" t="inlineStr">
        <is>
          <t>采购合同</t>
        </is>
      </c>
      <c r="D105" s="78" t="inlineStr">
        <is>
          <t>物料明细</t>
        </is>
      </c>
      <c r="E105" s="78" t="inlineStr">
        <is>
          <t>plan_no</t>
        </is>
      </c>
      <c r="F105" s="78" t="inlineStr">
        <is>
          <t>计划单号</t>
        </is>
      </c>
      <c r="G105" s="78" t="inlineStr">
        <is>
          <t>文本</t>
        </is>
      </c>
      <c r="H105" s="78" t="inlineStr">
        <is>
          <t>否</t>
        </is>
      </c>
      <c r="I105" s="78" t="inlineStr"/>
    </row>
    <row r="106" ht="22" customHeight="1">
      <c r="A106" s="78" t="n">
        <v>105</v>
      </c>
      <c r="B106" s="78" t="inlineStr">
        <is>
          <t>合同</t>
        </is>
      </c>
      <c r="C106" s="78" t="inlineStr">
        <is>
          <t>采购合同</t>
        </is>
      </c>
      <c r="D106" s="78" t="inlineStr">
        <is>
          <t>物料明细</t>
        </is>
      </c>
      <c r="E106" s="78" t="inlineStr">
        <is>
          <t>category</t>
        </is>
      </c>
      <c r="F106" s="78" t="inlineStr">
        <is>
          <t>使用设备</t>
        </is>
      </c>
      <c r="G106" s="78" t="inlineStr">
        <is>
          <t>文本</t>
        </is>
      </c>
      <c r="H106" s="78" t="inlineStr">
        <is>
          <t>否</t>
        </is>
      </c>
      <c r="I106" s="78" t="inlineStr"/>
    </row>
    <row r="107" ht="22" customHeight="1">
      <c r="A107" s="78" t="n">
        <v>106</v>
      </c>
      <c r="B107" s="78" t="inlineStr">
        <is>
          <t>合同</t>
        </is>
      </c>
      <c r="C107" s="78" t="inlineStr">
        <is>
          <t>采购合同</t>
        </is>
      </c>
      <c r="D107" s="78" t="inlineStr">
        <is>
          <t>物料明细</t>
        </is>
      </c>
      <c r="E107" s="78" t="inlineStr">
        <is>
          <t>remark</t>
        </is>
      </c>
      <c r="F107" s="78" t="inlineStr">
        <is>
          <t>备注</t>
        </is>
      </c>
      <c r="G107" s="78" t="inlineStr">
        <is>
          <t>文本</t>
        </is>
      </c>
      <c r="H107" s="78" t="inlineStr">
        <is>
          <t>否</t>
        </is>
      </c>
      <c r="I107" s="78" t="inlineStr"/>
    </row>
    <row r="108" ht="22" customHeight="1">
      <c r="A108" s="78" t="n">
        <v>107</v>
      </c>
      <c r="B108" s="78" t="inlineStr">
        <is>
          <t>合同</t>
        </is>
      </c>
      <c r="C108" s="78" t="inlineStr">
        <is>
          <t>采购合同</t>
        </is>
      </c>
      <c r="D108" s="78" t="inlineStr">
        <is>
          <t>阶段付款</t>
        </is>
      </c>
      <c r="E108" s="78" t="inlineStr">
        <is>
          <t>seq</t>
        </is>
      </c>
      <c r="F108" s="78" t="inlineStr">
        <is>
          <t>阶段序号</t>
        </is>
      </c>
      <c r="G108" s="78" t="inlineStr">
        <is>
          <t>文本</t>
        </is>
      </c>
      <c r="H108" s="78" t="inlineStr">
        <is>
          <t>否</t>
        </is>
      </c>
      <c r="I108" s="78" t="inlineStr">
        <is>
          <t>服务端排序</t>
        </is>
      </c>
    </row>
    <row r="109" ht="22" customHeight="1">
      <c r="A109" s="78" t="n">
        <v>108</v>
      </c>
      <c r="B109" s="78" t="inlineStr">
        <is>
          <t>合同</t>
        </is>
      </c>
      <c r="C109" s="78" t="inlineStr">
        <is>
          <t>采购合同</t>
        </is>
      </c>
      <c r="D109" s="78" t="inlineStr">
        <is>
          <t>阶段付款</t>
        </is>
      </c>
      <c r="E109" s="78" t="inlineStr">
        <is>
          <t>name</t>
        </is>
      </c>
      <c r="F109" s="78" t="inlineStr">
        <is>
          <t>阶段名称</t>
        </is>
      </c>
      <c r="G109" s="78" t="inlineStr">
        <is>
          <t>文本</t>
        </is>
      </c>
      <c r="H109" s="78" t="inlineStr">
        <is>
          <t>是</t>
        </is>
      </c>
      <c r="I109" s="78" t="inlineStr"/>
    </row>
    <row r="110" ht="22" customHeight="1">
      <c r="A110" s="78" t="n">
        <v>109</v>
      </c>
      <c r="B110" s="78" t="inlineStr">
        <is>
          <t>合同</t>
        </is>
      </c>
      <c r="C110" s="78" t="inlineStr">
        <is>
          <t>采购合同</t>
        </is>
      </c>
      <c r="D110" s="78" t="inlineStr">
        <is>
          <t>阶段付款</t>
        </is>
      </c>
      <c r="E110" s="78" t="inlineStr">
        <is>
          <t>ratio</t>
        </is>
      </c>
      <c r="F110" s="78" t="inlineStr">
        <is>
          <t>比例</t>
        </is>
      </c>
      <c r="G110" s="78" t="inlineStr">
        <is>
          <t>文本</t>
        </is>
      </c>
      <c r="H110" s="78" t="inlineStr">
        <is>
          <t>否</t>
        </is>
      </c>
      <c r="I110" s="78" t="inlineStr">
        <is>
          <t>百分比数值</t>
        </is>
      </c>
    </row>
    <row r="111" ht="22" customHeight="1">
      <c r="A111" s="78" t="n">
        <v>110</v>
      </c>
      <c r="B111" s="78" t="inlineStr">
        <is>
          <t>合同</t>
        </is>
      </c>
      <c r="C111" s="78" t="inlineStr">
        <is>
          <t>采购合同</t>
        </is>
      </c>
      <c r="D111" s="78" t="inlineStr">
        <is>
          <t>阶段付款</t>
        </is>
      </c>
      <c r="E111" s="78" t="inlineStr">
        <is>
          <t>plan_amount</t>
        </is>
      </c>
      <c r="F111" s="78" t="inlineStr">
        <is>
          <t>计划金额</t>
        </is>
      </c>
      <c r="G111" s="78" t="inlineStr">
        <is>
          <t>文本</t>
        </is>
      </c>
      <c r="H111" s="78" t="inlineStr">
        <is>
          <t>否</t>
        </is>
      </c>
      <c r="I111" s="78" t="inlineStr">
        <is>
          <t>合计必须等于合同金额</t>
        </is>
      </c>
    </row>
    <row r="112" ht="22" customHeight="1">
      <c r="A112" s="78" t="n">
        <v>111</v>
      </c>
      <c r="B112" s="78" t="inlineStr">
        <is>
          <t>合同</t>
        </is>
      </c>
      <c r="C112" s="78" t="inlineStr">
        <is>
          <t>采购合同</t>
        </is>
      </c>
      <c r="D112" s="78" t="inlineStr">
        <is>
          <t>阶段付款</t>
        </is>
      </c>
      <c r="E112" s="78" t="inlineStr">
        <is>
          <t>plan_date</t>
        </is>
      </c>
      <c r="F112" s="78" t="inlineStr">
        <is>
          <t>计划日期</t>
        </is>
      </c>
      <c r="G112" s="78" t="inlineStr">
        <is>
          <t>文本</t>
        </is>
      </c>
      <c r="H112" s="78" t="inlineStr">
        <is>
          <t>否</t>
        </is>
      </c>
      <c r="I112" s="78" t="inlineStr">
        <is>
          <t>逾期判断依据</t>
        </is>
      </c>
    </row>
    <row r="113" ht="22" customHeight="1">
      <c r="A113" s="78" t="n">
        <v>112</v>
      </c>
      <c r="B113" s="78" t="inlineStr">
        <is>
          <t>合同</t>
        </is>
      </c>
      <c r="C113" s="78" t="inlineStr">
        <is>
          <t>采购合同</t>
        </is>
      </c>
      <c r="D113" s="78" t="inlineStr">
        <is>
          <t>阶段付款</t>
        </is>
      </c>
      <c r="E113" s="78" t="inlineStr">
        <is>
          <t>settled_amount</t>
        </is>
      </c>
      <c r="F113" s="78" t="inlineStr">
        <is>
          <t>已收/已付</t>
        </is>
      </c>
      <c r="G113" s="78" t="inlineStr">
        <is>
          <t>文本</t>
        </is>
      </c>
      <c r="H113" s="78" t="inlineStr">
        <is>
          <t>否</t>
        </is>
      </c>
      <c r="I113" s="78" t="inlineStr">
        <is>
          <t>收付款回写，只读</t>
        </is>
      </c>
    </row>
    <row r="114" ht="22" customHeight="1">
      <c r="A114" s="78" t="n">
        <v>113</v>
      </c>
      <c r="B114" s="78" t="inlineStr">
        <is>
          <t>合同</t>
        </is>
      </c>
      <c r="C114" s="78" t="inlineStr">
        <is>
          <t>采购合同</t>
        </is>
      </c>
      <c r="D114" s="78" t="inlineStr">
        <is>
          <t>阶段付款</t>
        </is>
      </c>
      <c r="E114" s="78" t="inlineStr">
        <is>
          <t>arrival_triggered</t>
        </is>
      </c>
      <c r="F114" s="78" t="inlineStr">
        <is>
          <t>到货触发</t>
        </is>
      </c>
      <c r="G114" s="78" t="inlineStr">
        <is>
          <t>文本</t>
        </is>
      </c>
      <c r="H114" s="78" t="inlineStr">
        <is>
          <t>否</t>
        </is>
      </c>
      <c r="I114" s="78" t="inlineStr">
        <is>
          <t>圆钮确认/取消后置位</t>
        </is>
      </c>
    </row>
    <row r="115" ht="22" customHeight="1">
      <c r="A115" s="78" t="n">
        <v>114</v>
      </c>
      <c r="B115" s="78" t="inlineStr">
        <is>
          <t>合同</t>
        </is>
      </c>
      <c r="C115" s="78" t="inlineStr">
        <is>
          <t>采购合同</t>
        </is>
      </c>
      <c r="D115" s="78" t="inlineStr">
        <is>
          <t>阶段付款</t>
        </is>
      </c>
      <c r="E115" s="78" t="inlineStr">
        <is>
          <t>ship_triggered</t>
        </is>
      </c>
      <c r="F115" s="78" t="inlineStr">
        <is>
          <t>发货触发</t>
        </is>
      </c>
      <c r="G115" s="78" t="inlineStr">
        <is>
          <t>文本</t>
        </is>
      </c>
      <c r="H115" s="78" t="inlineStr">
        <is>
          <t>否</t>
        </is>
      </c>
      <c r="I115" s="78" t="inlineStr">
        <is>
          <t>圆钮确认/取消后置位</t>
        </is>
      </c>
    </row>
    <row r="116" ht="22" customHeight="1">
      <c r="A116" s="78" t="n">
        <v>115</v>
      </c>
      <c r="B116" s="78" t="inlineStr">
        <is>
          <t>合同</t>
        </is>
      </c>
      <c r="C116" s="78" t="inlineStr">
        <is>
          <t>采购合同</t>
        </is>
      </c>
      <c r="D116" s="78" t="inlineStr">
        <is>
          <t>阶段付款</t>
        </is>
      </c>
      <c r="E116" s="78" t="inlineStr">
        <is>
          <t>remark</t>
        </is>
      </c>
      <c r="F116" s="78" t="inlineStr">
        <is>
          <t>备注</t>
        </is>
      </c>
      <c r="G116" s="78" t="inlineStr">
        <is>
          <t>文本</t>
        </is>
      </c>
      <c r="H116" s="78" t="inlineStr">
        <is>
          <t>否</t>
        </is>
      </c>
      <c r="I116" s="78" t="inlineStr"/>
    </row>
    <row r="117" ht="22" customHeight="1">
      <c r="A117" s="78" t="n">
        <v>116</v>
      </c>
      <c r="B117" s="78" t="inlineStr">
        <is>
          <t>仓储</t>
        </is>
      </c>
      <c r="C117" s="78" t="inlineStr">
        <is>
          <t>采购入库</t>
        </is>
      </c>
      <c r="D117" s="78" t="inlineStr">
        <is>
          <t>主表</t>
        </is>
      </c>
      <c r="E117" s="78" t="inlineStr">
        <is>
          <t>bill_code</t>
        </is>
      </c>
      <c r="F117" s="78" t="inlineStr">
        <is>
          <t>单据编号</t>
        </is>
      </c>
      <c r="G117" s="78" t="inlineStr">
        <is>
          <t>文本</t>
        </is>
      </c>
      <c r="H117" s="78" t="inlineStr">
        <is>
          <t>否</t>
        </is>
      </c>
      <c r="I117" s="78" t="inlineStr">
        <is>
          <t>留空按 RK-日期-流水生成</t>
        </is>
      </c>
    </row>
    <row r="118" ht="22" customHeight="1">
      <c r="A118" s="78" t="n">
        <v>117</v>
      </c>
      <c r="B118" s="78" t="inlineStr">
        <is>
          <t>仓储</t>
        </is>
      </c>
      <c r="C118" s="78" t="inlineStr">
        <is>
          <t>采购入库</t>
        </is>
      </c>
      <c r="D118" s="78" t="inlineStr">
        <is>
          <t>主表</t>
        </is>
      </c>
      <c r="E118" s="78" t="inlineStr">
        <is>
          <t>bill_date</t>
        </is>
      </c>
      <c r="F118" s="78" t="inlineStr">
        <is>
          <t>单据日期</t>
        </is>
      </c>
      <c r="G118" s="78" t="inlineStr">
        <is>
          <t>日期</t>
        </is>
      </c>
      <c r="H118" s="78" t="inlineStr">
        <is>
          <t>是</t>
        </is>
      </c>
      <c r="I118" s="78" t="inlineStr"/>
    </row>
    <row r="119" ht="22" customHeight="1">
      <c r="A119" s="78" t="n">
        <v>118</v>
      </c>
      <c r="B119" s="78" t="inlineStr">
        <is>
          <t>仓储</t>
        </is>
      </c>
      <c r="C119" s="78" t="inlineStr">
        <is>
          <t>采购入库</t>
        </is>
      </c>
      <c r="D119" s="78" t="inlineStr">
        <is>
          <t>主表</t>
        </is>
      </c>
      <c r="E119" s="78" t="inlineStr">
        <is>
          <t>type</t>
        </is>
      </c>
      <c r="F119" s="78" t="inlineStr">
        <is>
          <t>类型</t>
        </is>
      </c>
      <c r="G119" s="78" t="inlineStr">
        <is>
          <t>文本</t>
        </is>
      </c>
      <c r="H119" s="78" t="inlineStr">
        <is>
          <t>是</t>
        </is>
      </c>
      <c r="I119" s="78" t="inlineStr">
        <is>
          <t>inbound</t>
        </is>
      </c>
    </row>
    <row r="120" ht="22" customHeight="1">
      <c r="A120" s="78" t="n">
        <v>119</v>
      </c>
      <c r="B120" s="78" t="inlineStr">
        <is>
          <t>仓储</t>
        </is>
      </c>
      <c r="C120" s="78" t="inlineStr">
        <is>
          <t>采购入库</t>
        </is>
      </c>
      <c r="D120" s="78" t="inlineStr">
        <is>
          <t>主表</t>
        </is>
      </c>
      <c r="E120" s="78" t="inlineStr">
        <is>
          <t>contract_id</t>
        </is>
      </c>
      <c r="F120" s="78" t="inlineStr">
        <is>
          <t>合同ID</t>
        </is>
      </c>
      <c r="G120" s="78" t="inlineStr">
        <is>
          <t>整数</t>
        </is>
      </c>
      <c r="H120" s="78" t="inlineStr">
        <is>
          <t>是</t>
        </is>
      </c>
      <c r="I120" s="78" t="inlineStr">
        <is>
          <t>只能选已签订采购合同</t>
        </is>
      </c>
    </row>
    <row r="121" ht="22" customHeight="1">
      <c r="A121" s="78" t="n">
        <v>120</v>
      </c>
      <c r="B121" s="78" t="inlineStr">
        <is>
          <t>仓储</t>
        </is>
      </c>
      <c r="C121" s="78" t="inlineStr">
        <is>
          <t>采购入库</t>
        </is>
      </c>
      <c r="D121" s="78" t="inlineStr">
        <is>
          <t>主表</t>
        </is>
      </c>
      <c r="E121" s="78" t="inlineStr">
        <is>
          <t>party_id</t>
        </is>
      </c>
      <c r="F121" s="78" t="inlineStr">
        <is>
          <t>供应商ID</t>
        </is>
      </c>
      <c r="G121" s="78" t="inlineStr">
        <is>
          <t>整数</t>
        </is>
      </c>
      <c r="H121" s="78" t="inlineStr">
        <is>
          <t>否</t>
        </is>
      </c>
      <c r="I121" s="78" t="inlineStr">
        <is>
          <t>随合同带出</t>
        </is>
      </c>
    </row>
    <row r="122" ht="22" customHeight="1">
      <c r="A122" s="78" t="n">
        <v>121</v>
      </c>
      <c r="B122" s="78" t="inlineStr">
        <is>
          <t>仓储</t>
        </is>
      </c>
      <c r="C122" s="78" t="inlineStr">
        <is>
          <t>采购入库</t>
        </is>
      </c>
      <c r="D122" s="78" t="inlineStr">
        <is>
          <t>主表</t>
        </is>
      </c>
      <c r="E122" s="78" t="inlineStr">
        <is>
          <t>party_name</t>
        </is>
      </c>
      <c r="F122" s="78" t="inlineStr">
        <is>
          <t>供应商名称</t>
        </is>
      </c>
      <c r="G122" s="78" t="inlineStr">
        <is>
          <t>文本</t>
        </is>
      </c>
      <c r="H122" s="78" t="inlineStr">
        <is>
          <t>否</t>
        </is>
      </c>
      <c r="I122" s="78" t="inlineStr">
        <is>
          <t>快照</t>
        </is>
      </c>
    </row>
    <row r="123" ht="22" customHeight="1">
      <c r="A123" s="78" t="n">
        <v>122</v>
      </c>
      <c r="B123" s="78" t="inlineStr">
        <is>
          <t>仓储</t>
        </is>
      </c>
      <c r="C123" s="78" t="inlineStr">
        <is>
          <t>采购入库</t>
        </is>
      </c>
      <c r="D123" s="78" t="inlineStr">
        <is>
          <t>主表</t>
        </is>
      </c>
      <c r="E123" s="78" t="inlineStr">
        <is>
          <t>warehouse_id</t>
        </is>
      </c>
      <c r="F123" s="78" t="inlineStr">
        <is>
          <t>仓库ID</t>
        </is>
      </c>
      <c r="G123" s="78" t="inlineStr">
        <is>
          <t>整数</t>
        </is>
      </c>
      <c r="H123" s="78" t="inlineStr">
        <is>
          <t>是</t>
        </is>
      </c>
      <c r="I123" s="78" t="inlineStr"/>
    </row>
    <row r="124" ht="22" customHeight="1">
      <c r="A124" s="78" t="n">
        <v>123</v>
      </c>
      <c r="B124" s="78" t="inlineStr">
        <is>
          <t>仓储</t>
        </is>
      </c>
      <c r="C124" s="78" t="inlineStr">
        <is>
          <t>采购入库</t>
        </is>
      </c>
      <c r="D124" s="78" t="inlineStr">
        <is>
          <t>主表</t>
        </is>
      </c>
      <c r="E124" s="78" t="inlineStr">
        <is>
          <t>remark</t>
        </is>
      </c>
      <c r="F124" s="78" t="inlineStr">
        <is>
          <t>备注</t>
        </is>
      </c>
      <c r="G124" s="78" t="inlineStr">
        <is>
          <t>文本</t>
        </is>
      </c>
      <c r="H124" s="78" t="inlineStr">
        <is>
          <t>否</t>
        </is>
      </c>
      <c r="I124" s="78" t="inlineStr"/>
    </row>
    <row r="125" ht="22" customHeight="1">
      <c r="A125" s="78" t="n">
        <v>124</v>
      </c>
      <c r="B125" s="78" t="inlineStr">
        <is>
          <t>仓储</t>
        </is>
      </c>
      <c r="C125" s="78" t="inlineStr">
        <is>
          <t>采购入库</t>
        </is>
      </c>
      <c r="D125" s="78" t="inlineStr">
        <is>
          <t>物料明细</t>
        </is>
      </c>
      <c r="E125" s="78" t="inlineStr">
        <is>
          <t>material_code</t>
        </is>
      </c>
      <c r="F125" s="78" t="inlineStr">
        <is>
          <t>物料编号</t>
        </is>
      </c>
      <c r="G125" s="78" t="inlineStr">
        <is>
          <t>文本</t>
        </is>
      </c>
      <c r="H125" s="78" t="inlineStr">
        <is>
          <t>是</t>
        </is>
      </c>
      <c r="I125" s="78" t="inlineStr">
        <is>
          <t>必须属于合同</t>
        </is>
      </c>
    </row>
    <row r="126" ht="22" customHeight="1">
      <c r="A126" s="78" t="n">
        <v>125</v>
      </c>
      <c r="B126" s="78" t="inlineStr">
        <is>
          <t>仓储</t>
        </is>
      </c>
      <c r="C126" s="78" t="inlineStr">
        <is>
          <t>采购入库</t>
        </is>
      </c>
      <c r="D126" s="78" t="inlineStr">
        <is>
          <t>物料明细</t>
        </is>
      </c>
      <c r="E126" s="78" t="inlineStr">
        <is>
          <t>name_cn</t>
        </is>
      </c>
      <c r="F126" s="78" t="inlineStr">
        <is>
          <t>中文名称</t>
        </is>
      </c>
      <c r="G126" s="78" t="inlineStr">
        <is>
          <t>文本</t>
        </is>
      </c>
      <c r="H126" s="78" t="inlineStr">
        <is>
          <t>否</t>
        </is>
      </c>
      <c r="I126" s="78" t="inlineStr"/>
    </row>
    <row r="127" ht="22" customHeight="1">
      <c r="A127" s="78" t="n">
        <v>126</v>
      </c>
      <c r="B127" s="78" t="inlineStr">
        <is>
          <t>仓储</t>
        </is>
      </c>
      <c r="C127" s="78" t="inlineStr">
        <is>
          <t>采购入库</t>
        </is>
      </c>
      <c r="D127" s="78" t="inlineStr">
        <is>
          <t>物料明细</t>
        </is>
      </c>
      <c r="E127" s="78" t="inlineStr">
        <is>
          <t>spec</t>
        </is>
      </c>
      <c r="F127" s="78" t="inlineStr">
        <is>
          <t>规格</t>
        </is>
      </c>
      <c r="G127" s="78" t="inlineStr">
        <is>
          <t>文本</t>
        </is>
      </c>
      <c r="H127" s="78" t="inlineStr">
        <is>
          <t>否</t>
        </is>
      </c>
      <c r="I127" s="78" t="inlineStr"/>
    </row>
    <row r="128" ht="22" customHeight="1">
      <c r="A128" s="78" t="n">
        <v>127</v>
      </c>
      <c r="B128" s="78" t="inlineStr">
        <is>
          <t>仓储</t>
        </is>
      </c>
      <c r="C128" s="78" t="inlineStr">
        <is>
          <t>采购入库</t>
        </is>
      </c>
      <c r="D128" s="78" t="inlineStr">
        <is>
          <t>物料明细</t>
        </is>
      </c>
      <c r="E128" s="78" t="inlineStr">
        <is>
          <t>unit</t>
        </is>
      </c>
      <c r="F128" s="78" t="inlineStr">
        <is>
          <t>单位</t>
        </is>
      </c>
      <c r="G128" s="78" t="inlineStr">
        <is>
          <t>文本</t>
        </is>
      </c>
      <c r="H128" s="78" t="inlineStr">
        <is>
          <t>否</t>
        </is>
      </c>
      <c r="I128" s="78" t="inlineStr"/>
    </row>
    <row r="129" ht="22" customHeight="1">
      <c r="A129" s="78" t="n">
        <v>128</v>
      </c>
      <c r="B129" s="78" t="inlineStr">
        <is>
          <t>仓储</t>
        </is>
      </c>
      <c r="C129" s="78" t="inlineStr">
        <is>
          <t>采购入库</t>
        </is>
      </c>
      <c r="D129" s="78" t="inlineStr">
        <is>
          <t>物料明细</t>
        </is>
      </c>
      <c r="E129" s="78" t="inlineStr">
        <is>
          <t>qty</t>
        </is>
      </c>
      <c r="F129" s="78" t="inlineStr">
        <is>
          <t>数量</t>
        </is>
      </c>
      <c r="G129" s="78" t="inlineStr">
        <is>
          <t>文本</t>
        </is>
      </c>
      <c r="H129" s="78" t="inlineStr">
        <is>
          <t>是</t>
        </is>
      </c>
      <c r="I129" s="78" t="inlineStr">
        <is>
          <t>累计不能超过合同签约数量</t>
        </is>
      </c>
    </row>
    <row r="130" ht="22" customHeight="1">
      <c r="A130" s="78" t="n">
        <v>129</v>
      </c>
      <c r="B130" s="78" t="inlineStr">
        <is>
          <t>仓储</t>
        </is>
      </c>
      <c r="C130" s="78" t="inlineStr">
        <is>
          <t>采购入库</t>
        </is>
      </c>
      <c r="D130" s="78" t="inlineStr">
        <is>
          <t>物料明细</t>
        </is>
      </c>
      <c r="E130" s="78" t="inlineStr">
        <is>
          <t>price</t>
        </is>
      </c>
      <c r="F130" s="78" t="inlineStr">
        <is>
          <t>含税单价</t>
        </is>
      </c>
      <c r="G130" s="78" t="inlineStr">
        <is>
          <t>文本</t>
        </is>
      </c>
      <c r="H130" s="78" t="inlineStr">
        <is>
          <t>否</t>
        </is>
      </c>
      <c r="I130" s="78" t="inlineStr">
        <is>
          <t>库存成本取最近入库价</t>
        </is>
      </c>
    </row>
    <row r="131" ht="22" customHeight="1">
      <c r="A131" s="78" t="n">
        <v>130</v>
      </c>
      <c r="B131" s="78" t="inlineStr">
        <is>
          <t>仓储</t>
        </is>
      </c>
      <c r="C131" s="78" t="inlineStr">
        <is>
          <t>采购入库</t>
        </is>
      </c>
      <c r="D131" s="78" t="inlineStr">
        <is>
          <t>物料明细</t>
        </is>
      </c>
      <c r="E131" s="78" t="inlineStr">
        <is>
          <t>amount</t>
        </is>
      </c>
      <c r="F131" s="78" t="inlineStr">
        <is>
          <t>金额</t>
        </is>
      </c>
      <c r="G131" s="78" t="inlineStr">
        <is>
          <t>文本</t>
        </is>
      </c>
      <c r="H131" s="78" t="inlineStr">
        <is>
          <t>否</t>
        </is>
      </c>
      <c r="I131" s="78" t="inlineStr">
        <is>
          <t>服务端计算</t>
        </is>
      </c>
    </row>
    <row r="132" ht="22" customHeight="1">
      <c r="A132" s="78" t="n">
        <v>131</v>
      </c>
      <c r="B132" s="78" t="inlineStr">
        <is>
          <t>仓储</t>
        </is>
      </c>
      <c r="C132" s="78" t="inlineStr">
        <is>
          <t>采购入库</t>
        </is>
      </c>
      <c r="D132" s="78" t="inlineStr">
        <is>
          <t>物料明细</t>
        </is>
      </c>
      <c r="E132" s="78" t="inlineStr">
        <is>
          <t>category</t>
        </is>
      </c>
      <c r="F132" s="78" t="inlineStr">
        <is>
          <t>使用设备</t>
        </is>
      </c>
      <c r="G132" s="78" t="inlineStr">
        <is>
          <t>文本</t>
        </is>
      </c>
      <c r="H132" s="78" t="inlineStr">
        <is>
          <t>否</t>
        </is>
      </c>
      <c r="I132" s="78" t="inlineStr"/>
    </row>
    <row r="133" ht="22" customHeight="1">
      <c r="A133" s="78" t="n">
        <v>132</v>
      </c>
      <c r="B133" s="78" t="inlineStr">
        <is>
          <t>仓储</t>
        </is>
      </c>
      <c r="C133" s="78" t="inlineStr">
        <is>
          <t>采购入库</t>
        </is>
      </c>
      <c r="D133" s="78" t="inlineStr">
        <is>
          <t>物料明细</t>
        </is>
      </c>
      <c r="E133" s="78" t="inlineStr">
        <is>
          <t>remark</t>
        </is>
      </c>
      <c r="F133" s="78" t="inlineStr">
        <is>
          <t>备注</t>
        </is>
      </c>
      <c r="G133" s="78" t="inlineStr">
        <is>
          <t>文本</t>
        </is>
      </c>
      <c r="H133" s="78" t="inlineStr">
        <is>
          <t>否</t>
        </is>
      </c>
      <c r="I133" s="78" t="inlineStr"/>
    </row>
    <row r="134" ht="22" customHeight="1">
      <c r="A134" s="78" t="n">
        <v>133</v>
      </c>
      <c r="B134" s="78" t="inlineStr">
        <is>
          <t>仓储</t>
        </is>
      </c>
      <c r="C134" s="78" t="inlineStr">
        <is>
          <t>库存余额</t>
        </is>
      </c>
      <c r="D134" s="78" t="inlineStr">
        <is>
          <t>主表</t>
        </is>
      </c>
      <c r="E134" s="78" t="inlineStr">
        <is>
          <t>warehouse_id</t>
        </is>
      </c>
      <c r="F134" s="78" t="inlineStr">
        <is>
          <t>仓库ID</t>
        </is>
      </c>
      <c r="G134" s="78" t="inlineStr">
        <is>
          <t>整数</t>
        </is>
      </c>
      <c r="H134" s="78" t="inlineStr">
        <is>
          <t>是</t>
        </is>
      </c>
      <c r="I134" s="78" t="inlineStr">
        <is>
          <t>仓库 + 物料唯一</t>
        </is>
      </c>
    </row>
    <row r="135" ht="22" customHeight="1">
      <c r="A135" s="78" t="n">
        <v>134</v>
      </c>
      <c r="B135" s="78" t="inlineStr">
        <is>
          <t>仓储</t>
        </is>
      </c>
      <c r="C135" s="78" t="inlineStr">
        <is>
          <t>库存余额</t>
        </is>
      </c>
      <c r="D135" s="78" t="inlineStr">
        <is>
          <t>主表</t>
        </is>
      </c>
      <c r="E135" s="78" t="inlineStr">
        <is>
          <t>material_code</t>
        </is>
      </c>
      <c r="F135" s="78" t="inlineStr">
        <is>
          <t>物料编号</t>
        </is>
      </c>
      <c r="G135" s="78" t="inlineStr">
        <is>
          <t>文本</t>
        </is>
      </c>
      <c r="H135" s="78" t="inlineStr">
        <is>
          <t>是</t>
        </is>
      </c>
      <c r="I135" s="78" t="inlineStr"/>
    </row>
    <row r="136" ht="22" customHeight="1">
      <c r="A136" s="78" t="n">
        <v>135</v>
      </c>
      <c r="B136" s="78" t="inlineStr">
        <is>
          <t>仓储</t>
        </is>
      </c>
      <c r="C136" s="78" t="inlineStr">
        <is>
          <t>库存余额</t>
        </is>
      </c>
      <c r="D136" s="78" t="inlineStr">
        <is>
          <t>主表</t>
        </is>
      </c>
      <c r="E136" s="78" t="inlineStr">
        <is>
          <t>goods_code</t>
        </is>
      </c>
      <c r="F136" s="78" t="inlineStr">
        <is>
          <t>商品编码</t>
        </is>
      </c>
      <c r="G136" s="78" t="inlineStr">
        <is>
          <t>文本</t>
        </is>
      </c>
      <c r="H136" s="78" t="inlineStr">
        <is>
          <t>否</t>
        </is>
      </c>
      <c r="I136" s="78" t="inlineStr">
        <is>
          <t>服务端回写</t>
        </is>
      </c>
    </row>
    <row r="137" ht="22" customHeight="1">
      <c r="A137" s="78" t="n">
        <v>136</v>
      </c>
      <c r="B137" s="78" t="inlineStr">
        <is>
          <t>仓储</t>
        </is>
      </c>
      <c r="C137" s="78" t="inlineStr">
        <is>
          <t>库存余额</t>
        </is>
      </c>
      <c r="D137" s="78" t="inlineStr">
        <is>
          <t>主表</t>
        </is>
      </c>
      <c r="E137" s="78" t="inlineStr">
        <is>
          <t>goods_name</t>
        </is>
      </c>
      <c r="F137" s="78" t="inlineStr">
        <is>
          <t>商品名称</t>
        </is>
      </c>
      <c r="G137" s="78" t="inlineStr">
        <is>
          <t>文本</t>
        </is>
      </c>
      <c r="H137" s="78" t="inlineStr">
        <is>
          <t>否</t>
        </is>
      </c>
      <c r="I137" s="78" t="inlineStr">
        <is>
          <t>服务端回写</t>
        </is>
      </c>
    </row>
    <row r="138" ht="22" customHeight="1">
      <c r="A138" s="78" t="n">
        <v>137</v>
      </c>
      <c r="B138" s="78" t="inlineStr">
        <is>
          <t>仓储</t>
        </is>
      </c>
      <c r="C138" s="78" t="inlineStr">
        <is>
          <t>库存余额</t>
        </is>
      </c>
      <c r="D138" s="78" t="inlineStr">
        <is>
          <t>主表</t>
        </is>
      </c>
      <c r="E138" s="78" t="inlineStr">
        <is>
          <t>unit</t>
        </is>
      </c>
      <c r="F138" s="78" t="inlineStr">
        <is>
          <t>单位</t>
        </is>
      </c>
      <c r="G138" s="78" t="inlineStr">
        <is>
          <t>文本</t>
        </is>
      </c>
      <c r="H138" s="78" t="inlineStr">
        <is>
          <t>否</t>
        </is>
      </c>
      <c r="I138" s="78" t="inlineStr">
        <is>
          <t>服务端回写</t>
        </is>
      </c>
    </row>
    <row r="139" ht="22" customHeight="1">
      <c r="A139" s="78" t="n">
        <v>138</v>
      </c>
      <c r="B139" s="78" t="inlineStr">
        <is>
          <t>仓储</t>
        </is>
      </c>
      <c r="C139" s="78" t="inlineStr">
        <is>
          <t>库存余额</t>
        </is>
      </c>
      <c r="D139" s="78" t="inlineStr">
        <is>
          <t>主表</t>
        </is>
      </c>
      <c r="E139" s="78" t="inlineStr">
        <is>
          <t>qty</t>
        </is>
      </c>
      <c r="F139" s="78" t="inlineStr">
        <is>
          <t>数量</t>
        </is>
      </c>
      <c r="G139" s="78" t="inlineStr">
        <is>
          <t>文本</t>
        </is>
      </c>
      <c r="H139" s="78" t="inlineStr">
        <is>
          <t>否</t>
        </is>
      </c>
      <c r="I139" s="78" t="inlineStr">
        <is>
          <t>入库 − 出库重算，只读</t>
        </is>
      </c>
    </row>
    <row r="140" ht="22" customHeight="1">
      <c r="A140" s="78" t="n">
        <v>139</v>
      </c>
      <c r="B140" s="78" t="inlineStr">
        <is>
          <t>仓储</t>
        </is>
      </c>
      <c r="C140" s="78" t="inlineStr">
        <is>
          <t>库存余额</t>
        </is>
      </c>
      <c r="D140" s="78" t="inlineStr">
        <is>
          <t>主表</t>
        </is>
      </c>
      <c r="E140" s="78" t="inlineStr">
        <is>
          <t>cost</t>
        </is>
      </c>
      <c r="F140" s="78" t="inlineStr">
        <is>
          <t>成本</t>
        </is>
      </c>
      <c r="G140" s="78" t="inlineStr">
        <is>
          <t>文本</t>
        </is>
      </c>
      <c r="H140" s="78" t="inlineStr">
        <is>
          <t>否</t>
        </is>
      </c>
      <c r="I140" s="78" t="inlineStr">
        <is>
          <t>最近入库含税单价，只读</t>
        </is>
      </c>
    </row>
    <row r="141" ht="22" customHeight="1">
      <c r="A141" s="78" t="n">
        <v>140</v>
      </c>
      <c r="B141" s="78" t="inlineStr">
        <is>
          <t>结算</t>
        </is>
      </c>
      <c r="C141" s="78" t="inlineStr">
        <is>
          <t>付款单</t>
        </is>
      </c>
      <c r="D141" s="78" t="inlineStr">
        <is>
          <t>主表</t>
        </is>
      </c>
      <c r="E141" s="78" t="inlineStr">
        <is>
          <t>bill_code</t>
        </is>
      </c>
      <c r="F141" s="78" t="inlineStr">
        <is>
          <t>单据编号</t>
        </is>
      </c>
      <c r="G141" s="78" t="inlineStr">
        <is>
          <t>文本</t>
        </is>
      </c>
      <c r="H141" s="78" t="inlineStr">
        <is>
          <t>否</t>
        </is>
      </c>
      <c r="I141" s="78" t="inlineStr">
        <is>
          <t>留空按 FK-日期-流水生成</t>
        </is>
      </c>
    </row>
    <row r="142" ht="22" customHeight="1">
      <c r="A142" s="78" t="n">
        <v>141</v>
      </c>
      <c r="B142" s="78" t="inlineStr">
        <is>
          <t>结算</t>
        </is>
      </c>
      <c r="C142" s="78" t="inlineStr">
        <is>
          <t>付款单</t>
        </is>
      </c>
      <c r="D142" s="78" t="inlineStr">
        <is>
          <t>主表</t>
        </is>
      </c>
      <c r="E142" s="78" t="inlineStr">
        <is>
          <t>bill_date</t>
        </is>
      </c>
      <c r="F142" s="78" t="inlineStr">
        <is>
          <t>单据日期</t>
        </is>
      </c>
      <c r="G142" s="78" t="inlineStr">
        <is>
          <t>日期</t>
        </is>
      </c>
      <c r="H142" s="78" t="inlineStr">
        <is>
          <t>是</t>
        </is>
      </c>
      <c r="I142" s="78" t="inlineStr"/>
    </row>
    <row r="143" ht="22" customHeight="1">
      <c r="A143" s="78" t="n">
        <v>142</v>
      </c>
      <c r="B143" s="78" t="inlineStr">
        <is>
          <t>结算</t>
        </is>
      </c>
      <c r="C143" s="78" t="inlineStr">
        <is>
          <t>付款单</t>
        </is>
      </c>
      <c r="D143" s="78" t="inlineStr">
        <is>
          <t>主表</t>
        </is>
      </c>
      <c r="E143" s="78" t="inlineStr">
        <is>
          <t>direction</t>
        </is>
      </c>
      <c r="F143" s="78" t="inlineStr">
        <is>
          <t>方向</t>
        </is>
      </c>
      <c r="G143" s="78" t="inlineStr">
        <is>
          <t>文本</t>
        </is>
      </c>
      <c r="H143" s="78" t="inlineStr">
        <is>
          <t>是</t>
        </is>
      </c>
      <c r="I143" s="78" t="inlineStr">
        <is>
          <t>payment</t>
        </is>
      </c>
    </row>
    <row r="144" ht="22" customHeight="1">
      <c r="A144" s="78" t="n">
        <v>143</v>
      </c>
      <c r="B144" s="78" t="inlineStr">
        <is>
          <t>结算</t>
        </is>
      </c>
      <c r="C144" s="78" t="inlineStr">
        <is>
          <t>付款单</t>
        </is>
      </c>
      <c r="D144" s="78" t="inlineStr">
        <is>
          <t>主表</t>
        </is>
      </c>
      <c r="E144" s="78" t="inlineStr">
        <is>
          <t>party_id</t>
        </is>
      </c>
      <c r="F144" s="78" t="inlineStr">
        <is>
          <t>供应商ID</t>
        </is>
      </c>
      <c r="G144" s="78" t="inlineStr">
        <is>
          <t>整数</t>
        </is>
      </c>
      <c r="H144" s="78" t="inlineStr">
        <is>
          <t>是</t>
        </is>
      </c>
      <c r="I144" s="78" t="inlineStr"/>
    </row>
    <row r="145" ht="22" customHeight="1">
      <c r="A145" s="78" t="n">
        <v>144</v>
      </c>
      <c r="B145" s="78" t="inlineStr">
        <is>
          <t>结算</t>
        </is>
      </c>
      <c r="C145" s="78" t="inlineStr">
        <is>
          <t>付款单</t>
        </is>
      </c>
      <c r="D145" s="78" t="inlineStr">
        <is>
          <t>主表</t>
        </is>
      </c>
      <c r="E145" s="78" t="inlineStr">
        <is>
          <t>party_name</t>
        </is>
      </c>
      <c r="F145" s="78" t="inlineStr">
        <is>
          <t>供应商名称</t>
        </is>
      </c>
      <c r="G145" s="78" t="inlineStr">
        <is>
          <t>文本</t>
        </is>
      </c>
      <c r="H145" s="78" t="inlineStr">
        <is>
          <t>否</t>
        </is>
      </c>
      <c r="I145" s="78" t="inlineStr">
        <is>
          <t>快照</t>
        </is>
      </c>
    </row>
    <row r="146" ht="22" customHeight="1">
      <c r="A146" s="78" t="n">
        <v>145</v>
      </c>
      <c r="B146" s="78" t="inlineStr">
        <is>
          <t>结算</t>
        </is>
      </c>
      <c r="C146" s="78" t="inlineStr">
        <is>
          <t>付款单</t>
        </is>
      </c>
      <c r="D146" s="78" t="inlineStr">
        <is>
          <t>主表</t>
        </is>
      </c>
      <c r="E146" s="78" t="inlineStr">
        <is>
          <t>contract_id</t>
        </is>
      </c>
      <c r="F146" s="78" t="inlineStr">
        <is>
          <t>合同ID</t>
        </is>
      </c>
      <c r="G146" s="78" t="inlineStr">
        <is>
          <t>整数</t>
        </is>
      </c>
      <c r="H146" s="78" t="inlineStr">
        <is>
          <t>是</t>
        </is>
      </c>
      <c r="I146" s="78" t="inlineStr"/>
    </row>
    <row r="147" ht="22" customHeight="1">
      <c r="A147" s="78" t="n">
        <v>146</v>
      </c>
      <c r="B147" s="78" t="inlineStr">
        <is>
          <t>结算</t>
        </is>
      </c>
      <c r="C147" s="78" t="inlineStr">
        <is>
          <t>付款单</t>
        </is>
      </c>
      <c r="D147" s="78" t="inlineStr">
        <is>
          <t>主表</t>
        </is>
      </c>
      <c r="E147" s="78" t="inlineStr">
        <is>
          <t>stage_id</t>
        </is>
      </c>
      <c r="F147" s="78" t="inlineStr">
        <is>
          <t>阶段ID</t>
        </is>
      </c>
      <c r="G147" s="78" t="inlineStr">
        <is>
          <t>整数</t>
        </is>
      </c>
      <c r="H147" s="78" t="inlineStr">
        <is>
          <t>是</t>
        </is>
      </c>
      <c r="I147" s="78" t="inlineStr"/>
    </row>
    <row r="148" ht="22" customHeight="1">
      <c r="A148" s="78" t="n">
        <v>147</v>
      </c>
      <c r="B148" s="78" t="inlineStr">
        <is>
          <t>结算</t>
        </is>
      </c>
      <c r="C148" s="78" t="inlineStr">
        <is>
          <t>付款单</t>
        </is>
      </c>
      <c r="D148" s="78" t="inlineStr">
        <is>
          <t>主表</t>
        </is>
      </c>
      <c r="E148" s="78" t="inlineStr">
        <is>
          <t>amount</t>
        </is>
      </c>
      <c r="F148" s="78" t="inlineStr">
        <is>
          <t>金额</t>
        </is>
      </c>
      <c r="G148" s="78" t="inlineStr">
        <is>
          <t>文本</t>
        </is>
      </c>
      <c r="H148" s="78" t="inlineStr">
        <is>
          <t>是</t>
        </is>
      </c>
      <c r="I148" s="78" t="inlineStr">
        <is>
          <t>大于 0，不超过阶段剩余</t>
        </is>
      </c>
    </row>
    <row r="149" ht="22" customHeight="1">
      <c r="A149" s="78" t="n">
        <v>148</v>
      </c>
      <c r="B149" s="78" t="inlineStr">
        <is>
          <t>结算</t>
        </is>
      </c>
      <c r="C149" s="78" t="inlineStr">
        <is>
          <t>付款单</t>
        </is>
      </c>
      <c r="D149" s="78" t="inlineStr">
        <is>
          <t>主表</t>
        </is>
      </c>
      <c r="E149" s="78" t="inlineStr">
        <is>
          <t>account_name</t>
        </is>
      </c>
      <c r="F149" s="78" t="inlineStr">
        <is>
          <t>账户</t>
        </is>
      </c>
      <c r="G149" s="78" t="inlineStr">
        <is>
          <t>文本</t>
        </is>
      </c>
      <c r="H149" s="78" t="inlineStr">
        <is>
          <t>否</t>
        </is>
      </c>
      <c r="I149" s="78" t="inlineStr">
        <is>
          <t>资金账户名称</t>
        </is>
      </c>
    </row>
    <row r="150" ht="22" customHeight="1">
      <c r="A150" s="78" t="n">
        <v>149</v>
      </c>
      <c r="B150" s="78" t="inlineStr">
        <is>
          <t>结算</t>
        </is>
      </c>
      <c r="C150" s="78" t="inlineStr">
        <is>
          <t>付款单</t>
        </is>
      </c>
      <c r="D150" s="78" t="inlineStr">
        <is>
          <t>主表</t>
        </is>
      </c>
      <c r="E150" s="78" t="inlineStr">
        <is>
          <t>remark</t>
        </is>
      </c>
      <c r="F150" s="78" t="inlineStr">
        <is>
          <t>备注</t>
        </is>
      </c>
      <c r="G150" s="78" t="inlineStr">
        <is>
          <t>文本</t>
        </is>
      </c>
      <c r="H150" s="78" t="inlineStr">
        <is>
          <t>否</t>
        </is>
      </c>
      <c r="I150" s="78" t="inlineStr"/>
    </row>
    <row r="151" ht="22" customHeight="1">
      <c r="A151" s="78" t="n">
        <v>150</v>
      </c>
      <c r="B151" s="78" t="inlineStr">
        <is>
          <t>发票</t>
        </is>
      </c>
      <c r="C151" s="78" t="inlineStr">
        <is>
          <t>进项发票</t>
        </is>
      </c>
      <c r="D151" s="78" t="inlineStr">
        <is>
          <t>主表</t>
        </is>
      </c>
      <c r="E151" s="78" t="inlineStr">
        <is>
          <t>bill_code</t>
        </is>
      </c>
      <c r="F151" s="78" t="inlineStr">
        <is>
          <t>单据编号</t>
        </is>
      </c>
      <c r="G151" s="78" t="inlineStr">
        <is>
          <t>文本</t>
        </is>
      </c>
      <c r="H151" s="78" t="inlineStr">
        <is>
          <t>否</t>
        </is>
      </c>
      <c r="I151" s="78" t="inlineStr">
        <is>
          <t>留空按 JX-日期-流水生成</t>
        </is>
      </c>
    </row>
    <row r="152" ht="22" customHeight="1">
      <c r="A152" s="78" t="n">
        <v>151</v>
      </c>
      <c r="B152" s="78" t="inlineStr">
        <is>
          <t>发票</t>
        </is>
      </c>
      <c r="C152" s="78" t="inlineStr">
        <is>
          <t>进项发票</t>
        </is>
      </c>
      <c r="D152" s="78" t="inlineStr">
        <is>
          <t>主表</t>
        </is>
      </c>
      <c r="E152" s="78" t="inlineStr">
        <is>
          <t>invoice_no</t>
        </is>
      </c>
      <c r="F152" s="78" t="inlineStr">
        <is>
          <t>发票号码</t>
        </is>
      </c>
      <c r="G152" s="78" t="inlineStr">
        <is>
          <t>文本</t>
        </is>
      </c>
      <c r="H152" s="78" t="inlineStr">
        <is>
          <t>是</t>
        </is>
      </c>
      <c r="I152" s="78" t="inlineStr">
        <is>
          <t>公司内唯一</t>
        </is>
      </c>
    </row>
    <row r="153" ht="22" customHeight="1">
      <c r="A153" s="78" t="n">
        <v>152</v>
      </c>
      <c r="B153" s="78" t="inlineStr">
        <is>
          <t>发票</t>
        </is>
      </c>
      <c r="C153" s="78" t="inlineStr">
        <is>
          <t>进项发票</t>
        </is>
      </c>
      <c r="D153" s="78" t="inlineStr">
        <is>
          <t>主表</t>
        </is>
      </c>
      <c r="E153" s="78" t="inlineStr">
        <is>
          <t>invoice_date</t>
        </is>
      </c>
      <c r="F153" s="78" t="inlineStr">
        <is>
          <t>发票日期</t>
        </is>
      </c>
      <c r="G153" s="78" t="inlineStr">
        <is>
          <t>日期</t>
        </is>
      </c>
      <c r="H153" s="78" t="inlineStr">
        <is>
          <t>是</t>
        </is>
      </c>
      <c r="I153" s="78" t="inlineStr"/>
    </row>
    <row r="154" ht="22" customHeight="1">
      <c r="A154" s="78" t="n">
        <v>153</v>
      </c>
      <c r="B154" s="78" t="inlineStr">
        <is>
          <t>发票</t>
        </is>
      </c>
      <c r="C154" s="78" t="inlineStr">
        <is>
          <t>进项发票</t>
        </is>
      </c>
      <c r="D154" s="78" t="inlineStr">
        <is>
          <t>主表</t>
        </is>
      </c>
      <c r="E154" s="78" t="inlineStr">
        <is>
          <t>invoice_type</t>
        </is>
      </c>
      <c r="F154" s="78" t="inlineStr">
        <is>
          <t>发票类型</t>
        </is>
      </c>
      <c r="G154" s="78" t="inlineStr">
        <is>
          <t>文本</t>
        </is>
      </c>
      <c r="H154" s="78" t="inlineStr">
        <is>
          <t>是</t>
        </is>
      </c>
      <c r="I154" s="78" t="inlineStr">
        <is>
          <t>增值税专用发票/普通发票/电子专票/电子普票</t>
        </is>
      </c>
    </row>
    <row r="155" ht="22" customHeight="1">
      <c r="A155" s="78" t="n">
        <v>154</v>
      </c>
      <c r="B155" s="78" t="inlineStr">
        <is>
          <t>发票</t>
        </is>
      </c>
      <c r="C155" s="78" t="inlineStr">
        <is>
          <t>进项发票</t>
        </is>
      </c>
      <c r="D155" s="78" t="inlineStr">
        <is>
          <t>主表</t>
        </is>
      </c>
      <c r="E155" s="78" t="inlineStr">
        <is>
          <t>direction</t>
        </is>
      </c>
      <c r="F155" s="78" t="inlineStr">
        <is>
          <t>方向</t>
        </is>
      </c>
      <c r="G155" s="78" t="inlineStr">
        <is>
          <t>文本</t>
        </is>
      </c>
      <c r="H155" s="78" t="inlineStr">
        <is>
          <t>是</t>
        </is>
      </c>
      <c r="I155" s="78" t="inlineStr">
        <is>
          <t>input</t>
        </is>
      </c>
    </row>
    <row r="156" ht="22" customHeight="1">
      <c r="A156" s="78" t="n">
        <v>155</v>
      </c>
      <c r="B156" s="78" t="inlineStr">
        <is>
          <t>发票</t>
        </is>
      </c>
      <c r="C156" s="78" t="inlineStr">
        <is>
          <t>进项发票</t>
        </is>
      </c>
      <c r="D156" s="78" t="inlineStr">
        <is>
          <t>主表</t>
        </is>
      </c>
      <c r="E156" s="78" t="inlineStr">
        <is>
          <t>party_id</t>
        </is>
      </c>
      <c r="F156" s="78" t="inlineStr">
        <is>
          <t>供应商ID</t>
        </is>
      </c>
      <c r="G156" s="78" t="inlineStr">
        <is>
          <t>整数</t>
        </is>
      </c>
      <c r="H156" s="78" t="inlineStr">
        <is>
          <t>是</t>
        </is>
      </c>
      <c r="I156" s="78" t="inlineStr"/>
    </row>
    <row r="157" ht="22" customHeight="1">
      <c r="A157" s="78" t="n">
        <v>156</v>
      </c>
      <c r="B157" s="78" t="inlineStr">
        <is>
          <t>发票</t>
        </is>
      </c>
      <c r="C157" s="78" t="inlineStr">
        <is>
          <t>进项发票</t>
        </is>
      </c>
      <c r="D157" s="78" t="inlineStr">
        <is>
          <t>主表</t>
        </is>
      </c>
      <c r="E157" s="78" t="inlineStr">
        <is>
          <t>party_name</t>
        </is>
      </c>
      <c r="F157" s="78" t="inlineStr">
        <is>
          <t>供应商名称</t>
        </is>
      </c>
      <c r="G157" s="78" t="inlineStr">
        <is>
          <t>文本</t>
        </is>
      </c>
      <c r="H157" s="78" t="inlineStr">
        <is>
          <t>否</t>
        </is>
      </c>
      <c r="I157" s="78" t="inlineStr">
        <is>
          <t>快照</t>
        </is>
      </c>
    </row>
    <row r="158" ht="22" customHeight="1">
      <c r="A158" s="78" t="n">
        <v>157</v>
      </c>
      <c r="B158" s="78" t="inlineStr">
        <is>
          <t>发票</t>
        </is>
      </c>
      <c r="C158" s="78" t="inlineStr">
        <is>
          <t>进项发票</t>
        </is>
      </c>
      <c r="D158" s="78" t="inlineStr">
        <is>
          <t>主表</t>
        </is>
      </c>
      <c r="E158" s="78" t="inlineStr">
        <is>
          <t>party_tax_no</t>
        </is>
      </c>
      <c r="F158" s="78" t="inlineStr">
        <is>
          <t>税号</t>
        </is>
      </c>
      <c r="G158" s="78" t="inlineStr">
        <is>
          <t>文本</t>
        </is>
      </c>
      <c r="H158" s="78" t="inlineStr">
        <is>
          <t>否</t>
        </is>
      </c>
      <c r="I158" s="78" t="inlineStr">
        <is>
          <t>快照</t>
        </is>
      </c>
    </row>
    <row r="159" ht="22" customHeight="1">
      <c r="A159" s="78" t="n">
        <v>158</v>
      </c>
      <c r="B159" s="78" t="inlineStr">
        <is>
          <t>发票</t>
        </is>
      </c>
      <c r="C159" s="78" t="inlineStr">
        <is>
          <t>进项发票</t>
        </is>
      </c>
      <c r="D159" s="78" t="inlineStr">
        <is>
          <t>主表</t>
        </is>
      </c>
      <c r="E159" s="78" t="inlineStr">
        <is>
          <t>contract_id</t>
        </is>
      </c>
      <c r="F159" s="78" t="inlineStr">
        <is>
          <t>合同ID</t>
        </is>
      </c>
      <c r="G159" s="78" t="inlineStr">
        <is>
          <t>整数</t>
        </is>
      </c>
      <c r="H159" s="78" t="inlineStr">
        <is>
          <t>是</t>
        </is>
      </c>
      <c r="I159" s="78" t="inlineStr">
        <is>
          <t>只能选已签订采购合同</t>
        </is>
      </c>
    </row>
    <row r="160" ht="22" customHeight="1">
      <c r="A160" s="78" t="n">
        <v>159</v>
      </c>
      <c r="B160" s="78" t="inlineStr">
        <is>
          <t>发票</t>
        </is>
      </c>
      <c r="C160" s="78" t="inlineStr">
        <is>
          <t>进项发票</t>
        </is>
      </c>
      <c r="D160" s="78" t="inlineStr">
        <is>
          <t>主表</t>
        </is>
      </c>
      <c r="E160" s="78" t="inlineStr">
        <is>
          <t>attachments</t>
        </is>
      </c>
      <c r="F160" s="78" t="inlineStr">
        <is>
          <t>附件</t>
        </is>
      </c>
      <c r="G160" s="78" t="inlineStr">
        <is>
          <t>文本</t>
        </is>
      </c>
      <c r="H160" s="78" t="inlineStr">
        <is>
          <t>否</t>
        </is>
      </c>
      <c r="I160" s="78" t="inlineStr">
        <is>
          <t>JSON/文件标识</t>
        </is>
      </c>
    </row>
    <row r="161" ht="22" customHeight="1">
      <c r="A161" s="78" t="n">
        <v>160</v>
      </c>
      <c r="B161" s="78" t="inlineStr">
        <is>
          <t>发票</t>
        </is>
      </c>
      <c r="C161" s="78" t="inlineStr">
        <is>
          <t>进项发票</t>
        </is>
      </c>
      <c r="D161" s="78" t="inlineStr">
        <is>
          <t>主表</t>
        </is>
      </c>
      <c r="E161" s="78" t="inlineStr">
        <is>
          <t>amount_ex_tax</t>
        </is>
      </c>
      <c r="F161" s="78" t="inlineStr">
        <is>
          <t>不含税金额</t>
        </is>
      </c>
      <c r="G161" s="78" t="inlineStr">
        <is>
          <t>文本</t>
        </is>
      </c>
      <c r="H161" s="78" t="inlineStr">
        <is>
          <t>否</t>
        </is>
      </c>
      <c r="I161" s="78" t="inlineStr">
        <is>
          <t>服务端按明细汇总</t>
        </is>
      </c>
    </row>
    <row r="162" ht="22" customHeight="1">
      <c r="A162" s="78" t="n">
        <v>161</v>
      </c>
      <c r="B162" s="78" t="inlineStr">
        <is>
          <t>发票</t>
        </is>
      </c>
      <c r="C162" s="78" t="inlineStr">
        <is>
          <t>进项发票</t>
        </is>
      </c>
      <c r="D162" s="78" t="inlineStr">
        <is>
          <t>主表</t>
        </is>
      </c>
      <c r="E162" s="78" t="inlineStr">
        <is>
          <t>tax</t>
        </is>
      </c>
      <c r="F162" s="78" t="inlineStr">
        <is>
          <t>税额</t>
        </is>
      </c>
      <c r="G162" s="78" t="inlineStr">
        <is>
          <t>文本</t>
        </is>
      </c>
      <c r="H162" s="78" t="inlineStr">
        <is>
          <t>否</t>
        </is>
      </c>
      <c r="I162" s="78" t="inlineStr">
        <is>
          <t>服务端按明细汇总</t>
        </is>
      </c>
    </row>
    <row r="163" ht="22" customHeight="1">
      <c r="A163" s="78" t="n">
        <v>162</v>
      </c>
      <c r="B163" s="78" t="inlineStr">
        <is>
          <t>发票</t>
        </is>
      </c>
      <c r="C163" s="78" t="inlineStr">
        <is>
          <t>进项发票</t>
        </is>
      </c>
      <c r="D163" s="78" t="inlineStr">
        <is>
          <t>主表</t>
        </is>
      </c>
      <c r="E163" s="78" t="inlineStr">
        <is>
          <t>total</t>
        </is>
      </c>
      <c r="F163" s="78" t="inlineStr">
        <is>
          <t>价税合计</t>
        </is>
      </c>
      <c r="G163" s="78" t="inlineStr">
        <is>
          <t>文本</t>
        </is>
      </c>
      <c r="H163" s="78" t="inlineStr">
        <is>
          <t>否</t>
        </is>
      </c>
      <c r="I163" s="78" t="inlineStr">
        <is>
          <t>服务端按明细汇总</t>
        </is>
      </c>
    </row>
    <row r="164" ht="22" customHeight="1">
      <c r="A164" s="78" t="n">
        <v>163</v>
      </c>
      <c r="B164" s="78" t="inlineStr">
        <is>
          <t>发票</t>
        </is>
      </c>
      <c r="C164" s="78" t="inlineStr">
        <is>
          <t>进项发票</t>
        </is>
      </c>
      <c r="D164" s="78" t="inlineStr">
        <is>
          <t>主表</t>
        </is>
      </c>
      <c r="E164" s="78" t="inlineStr">
        <is>
          <t>remark</t>
        </is>
      </c>
      <c r="F164" s="78" t="inlineStr">
        <is>
          <t>备注</t>
        </is>
      </c>
      <c r="G164" s="78" t="inlineStr">
        <is>
          <t>文本</t>
        </is>
      </c>
      <c r="H164" s="78" t="inlineStr">
        <is>
          <t>否</t>
        </is>
      </c>
      <c r="I164" s="78" t="inlineStr"/>
    </row>
    <row r="165" ht="22" customHeight="1">
      <c r="A165" s="78" t="n">
        <v>164</v>
      </c>
      <c r="B165" s="78" t="inlineStr">
        <is>
          <t>发票</t>
        </is>
      </c>
      <c r="C165" s="78" t="inlineStr">
        <is>
          <t>进项发票</t>
        </is>
      </c>
      <c r="D165" s="78" t="inlineStr">
        <is>
          <t>物料明细</t>
        </is>
      </c>
      <c r="E165" s="78" t="inlineStr">
        <is>
          <t>material_code</t>
        </is>
      </c>
      <c r="F165" s="78" t="inlineStr">
        <is>
          <t>物料编号</t>
        </is>
      </c>
      <c r="G165" s="78" t="inlineStr">
        <is>
          <t>文本</t>
        </is>
      </c>
      <c r="H165" s="78" t="inlineStr">
        <is>
          <t>是</t>
        </is>
      </c>
      <c r="I165" s="78" t="inlineStr">
        <is>
          <t>必须在合同物料中</t>
        </is>
      </c>
    </row>
    <row r="166" ht="22" customHeight="1">
      <c r="A166" s="78" t="n">
        <v>165</v>
      </c>
      <c r="B166" s="78" t="inlineStr">
        <is>
          <t>发票</t>
        </is>
      </c>
      <c r="C166" s="78" t="inlineStr">
        <is>
          <t>进项发票</t>
        </is>
      </c>
      <c r="D166" s="78" t="inlineStr">
        <is>
          <t>物料明细</t>
        </is>
      </c>
      <c r="E166" s="78" t="inlineStr">
        <is>
          <t>name_cn</t>
        </is>
      </c>
      <c r="F166" s="78" t="inlineStr">
        <is>
          <t>中文名称</t>
        </is>
      </c>
      <c r="G166" s="78" t="inlineStr">
        <is>
          <t>文本</t>
        </is>
      </c>
      <c r="H166" s="78" t="inlineStr">
        <is>
          <t>否</t>
        </is>
      </c>
      <c r="I166" s="78" t="inlineStr"/>
    </row>
    <row r="167" ht="22" customHeight="1">
      <c r="A167" s="78" t="n">
        <v>166</v>
      </c>
      <c r="B167" s="78" t="inlineStr">
        <is>
          <t>发票</t>
        </is>
      </c>
      <c r="C167" s="78" t="inlineStr">
        <is>
          <t>进项发票</t>
        </is>
      </c>
      <c r="D167" s="78" t="inlineStr">
        <is>
          <t>物料明细</t>
        </is>
      </c>
      <c r="E167" s="78" t="inlineStr">
        <is>
          <t>name_en</t>
        </is>
      </c>
      <c r="F167" s="78" t="inlineStr">
        <is>
          <t>英文名称</t>
        </is>
      </c>
      <c r="G167" s="78" t="inlineStr">
        <is>
          <t>文本</t>
        </is>
      </c>
      <c r="H167" s="78" t="inlineStr">
        <is>
          <t>否</t>
        </is>
      </c>
      <c r="I167" s="78" t="inlineStr"/>
    </row>
    <row r="168" ht="22" customHeight="1">
      <c r="A168" s="78" t="n">
        <v>167</v>
      </c>
      <c r="B168" s="78" t="inlineStr">
        <is>
          <t>发票</t>
        </is>
      </c>
      <c r="C168" s="78" t="inlineStr">
        <is>
          <t>进项发票</t>
        </is>
      </c>
      <c r="D168" s="78" t="inlineStr">
        <is>
          <t>物料明细</t>
        </is>
      </c>
      <c r="E168" s="78" t="inlineStr">
        <is>
          <t>spec</t>
        </is>
      </c>
      <c r="F168" s="78" t="inlineStr">
        <is>
          <t>规格</t>
        </is>
      </c>
      <c r="G168" s="78" t="inlineStr">
        <is>
          <t>文本</t>
        </is>
      </c>
      <c r="H168" s="78" t="inlineStr">
        <is>
          <t>否</t>
        </is>
      </c>
      <c r="I168" s="78" t="inlineStr"/>
    </row>
    <row r="169" ht="22" customHeight="1">
      <c r="A169" s="78" t="n">
        <v>168</v>
      </c>
      <c r="B169" s="78" t="inlineStr">
        <is>
          <t>发票</t>
        </is>
      </c>
      <c r="C169" s="78" t="inlineStr">
        <is>
          <t>进项发票</t>
        </is>
      </c>
      <c r="D169" s="78" t="inlineStr">
        <is>
          <t>物料明细</t>
        </is>
      </c>
      <c r="E169" s="78" t="inlineStr">
        <is>
          <t>unit</t>
        </is>
      </c>
      <c r="F169" s="78" t="inlineStr">
        <is>
          <t>单位</t>
        </is>
      </c>
      <c r="G169" s="78" t="inlineStr">
        <is>
          <t>文本</t>
        </is>
      </c>
      <c r="H169" s="78" t="inlineStr">
        <is>
          <t>否</t>
        </is>
      </c>
      <c r="I169" s="78" t="inlineStr"/>
    </row>
    <row r="170" ht="22" customHeight="1">
      <c r="A170" s="78" t="n">
        <v>169</v>
      </c>
      <c r="B170" s="78" t="inlineStr">
        <is>
          <t>发票</t>
        </is>
      </c>
      <c r="C170" s="78" t="inlineStr">
        <is>
          <t>进项发票</t>
        </is>
      </c>
      <c r="D170" s="78" t="inlineStr">
        <is>
          <t>物料明细</t>
        </is>
      </c>
      <c r="E170" s="78" t="inlineStr">
        <is>
          <t>qty</t>
        </is>
      </c>
      <c r="F170" s="78" t="inlineStr">
        <is>
          <t>数量</t>
        </is>
      </c>
      <c r="G170" s="78" t="inlineStr">
        <is>
          <t>文本</t>
        </is>
      </c>
      <c r="H170" s="78" t="inlineStr">
        <is>
          <t>是</t>
        </is>
      </c>
      <c r="I170" s="78" t="inlineStr">
        <is>
          <t>累计不超合同签约数量</t>
        </is>
      </c>
    </row>
    <row r="171" ht="22" customHeight="1">
      <c r="A171" s="78" t="n">
        <v>170</v>
      </c>
      <c r="B171" s="78" t="inlineStr">
        <is>
          <t>发票</t>
        </is>
      </c>
      <c r="C171" s="78" t="inlineStr">
        <is>
          <t>进项发票</t>
        </is>
      </c>
      <c r="D171" s="78" t="inlineStr">
        <is>
          <t>物料明细</t>
        </is>
      </c>
      <c r="E171" s="78" t="inlineStr">
        <is>
          <t>price_ex_tax</t>
        </is>
      </c>
      <c r="F171" s="78" t="inlineStr">
        <is>
          <t>不含税单价</t>
        </is>
      </c>
      <c r="G171" s="78" t="inlineStr">
        <is>
          <t>文本</t>
        </is>
      </c>
      <c r="H171" s="78" t="inlineStr">
        <is>
          <t>否</t>
        </is>
      </c>
      <c r="I171" s="78" t="inlineStr"/>
    </row>
    <row r="172" ht="22" customHeight="1">
      <c r="A172" s="78" t="n">
        <v>171</v>
      </c>
      <c r="B172" s="78" t="inlineStr">
        <is>
          <t>发票</t>
        </is>
      </c>
      <c r="C172" s="78" t="inlineStr">
        <is>
          <t>进项发票</t>
        </is>
      </c>
      <c r="D172" s="78" t="inlineStr">
        <is>
          <t>物料明细</t>
        </is>
      </c>
      <c r="E172" s="78" t="inlineStr">
        <is>
          <t>price</t>
        </is>
      </c>
      <c r="F172" s="78" t="inlineStr">
        <is>
          <t>含税单价</t>
        </is>
      </c>
      <c r="G172" s="78" t="inlineStr">
        <is>
          <t>文本</t>
        </is>
      </c>
      <c r="H172" s="78" t="inlineStr">
        <is>
          <t>否</t>
        </is>
      </c>
      <c r="I172" s="78" t="inlineStr"/>
    </row>
    <row r="173" ht="22" customHeight="1">
      <c r="A173" s="78" t="n">
        <v>172</v>
      </c>
      <c r="B173" s="78" t="inlineStr">
        <is>
          <t>发票</t>
        </is>
      </c>
      <c r="C173" s="78" t="inlineStr">
        <is>
          <t>进项发票</t>
        </is>
      </c>
      <c r="D173" s="78" t="inlineStr">
        <is>
          <t>物料明细</t>
        </is>
      </c>
      <c r="E173" s="78" t="inlineStr">
        <is>
          <t>amount_ex_tax</t>
        </is>
      </c>
      <c r="F173" s="78" t="inlineStr">
        <is>
          <t>不含税金额</t>
        </is>
      </c>
      <c r="G173" s="78" t="inlineStr">
        <is>
          <t>文本</t>
        </is>
      </c>
      <c r="H173" s="78" t="inlineStr">
        <is>
          <t>否</t>
        </is>
      </c>
      <c r="I173" s="78" t="inlineStr"/>
    </row>
    <row r="174" ht="22" customHeight="1">
      <c r="A174" s="78" t="n">
        <v>173</v>
      </c>
      <c r="B174" s="78" t="inlineStr">
        <is>
          <t>发票</t>
        </is>
      </c>
      <c r="C174" s="78" t="inlineStr">
        <is>
          <t>进项发票</t>
        </is>
      </c>
      <c r="D174" s="78" t="inlineStr">
        <is>
          <t>物料明细</t>
        </is>
      </c>
      <c r="E174" s="78" t="inlineStr">
        <is>
          <t>tax_rate</t>
        </is>
      </c>
      <c r="F174" s="78" t="inlineStr">
        <is>
          <t>税率</t>
        </is>
      </c>
      <c r="G174" s="78" t="inlineStr">
        <is>
          <t>文本</t>
        </is>
      </c>
      <c r="H174" s="78" t="inlineStr">
        <is>
          <t>否</t>
        </is>
      </c>
      <c r="I174" s="78" t="inlineStr"/>
    </row>
    <row r="175" ht="22" customHeight="1">
      <c r="A175" s="78" t="n">
        <v>174</v>
      </c>
      <c r="B175" s="78" t="inlineStr">
        <is>
          <t>发票</t>
        </is>
      </c>
      <c r="C175" s="78" t="inlineStr">
        <is>
          <t>进项发票</t>
        </is>
      </c>
      <c r="D175" s="78" t="inlineStr">
        <is>
          <t>物料明细</t>
        </is>
      </c>
      <c r="E175" s="78" t="inlineStr">
        <is>
          <t>tax</t>
        </is>
      </c>
      <c r="F175" s="78" t="inlineStr">
        <is>
          <t>税额</t>
        </is>
      </c>
      <c r="G175" s="78" t="inlineStr">
        <is>
          <t>文本</t>
        </is>
      </c>
      <c r="H175" s="78" t="inlineStr">
        <is>
          <t>否</t>
        </is>
      </c>
      <c r="I175" s="78" t="inlineStr"/>
    </row>
    <row r="176" ht="22" customHeight="1">
      <c r="A176" s="78" t="n">
        <v>175</v>
      </c>
      <c r="B176" s="78" t="inlineStr">
        <is>
          <t>发票</t>
        </is>
      </c>
      <c r="C176" s="78" t="inlineStr">
        <is>
          <t>进项发票</t>
        </is>
      </c>
      <c r="D176" s="78" t="inlineStr">
        <is>
          <t>物料明细</t>
        </is>
      </c>
      <c r="E176" s="78" t="inlineStr">
        <is>
          <t>total</t>
        </is>
      </c>
      <c r="F176" s="78" t="inlineStr">
        <is>
          <t>价税合计</t>
        </is>
      </c>
      <c r="G176" s="78" t="inlineStr">
        <is>
          <t>文本</t>
        </is>
      </c>
      <c r="H176" s="78" t="inlineStr">
        <is>
          <t>否</t>
        </is>
      </c>
      <c r="I176" s="78" t="inlineStr">
        <is>
          <t>行主值</t>
        </is>
      </c>
    </row>
    <row r="177" ht="22" customHeight="1">
      <c r="A177" s="78" t="n">
        <v>176</v>
      </c>
      <c r="B177" s="78" t="inlineStr">
        <is>
          <t>发票</t>
        </is>
      </c>
      <c r="C177" s="78" t="inlineStr">
        <is>
          <t>进项发票</t>
        </is>
      </c>
      <c r="D177" s="78" t="inlineStr">
        <is>
          <t>物料明细</t>
        </is>
      </c>
      <c r="E177" s="78" t="inlineStr">
        <is>
          <t>manual_tax</t>
        </is>
      </c>
      <c r="F177" s="78" t="inlineStr">
        <is>
          <t>手工改税</t>
        </is>
      </c>
      <c r="G177" s="78" t="inlineStr">
        <is>
          <t>文本</t>
        </is>
      </c>
      <c r="H177" s="78" t="inlineStr">
        <is>
          <t>否</t>
        </is>
      </c>
      <c r="I177" s="78" t="inlineStr">
        <is>
          <t>是否直接改过不含税/税额</t>
        </is>
      </c>
    </row>
    <row r="178" ht="22" customHeight="1">
      <c r="A178" s="78" t="n">
        <v>177</v>
      </c>
      <c r="B178" s="78" t="inlineStr">
        <is>
          <t>发票</t>
        </is>
      </c>
      <c r="C178" s="78" t="inlineStr">
        <is>
          <t>进项发票</t>
        </is>
      </c>
      <c r="D178" s="78" t="inlineStr">
        <is>
          <t>物料明细</t>
        </is>
      </c>
      <c r="E178" s="78" t="inlineStr">
        <is>
          <t>remark</t>
        </is>
      </c>
      <c r="F178" s="78" t="inlineStr">
        <is>
          <t>备注</t>
        </is>
      </c>
      <c r="G178" s="78" t="inlineStr">
        <is>
          <t>文本</t>
        </is>
      </c>
      <c r="H178" s="78" t="inlineStr">
        <is>
          <t>否</t>
        </is>
      </c>
      <c r="I178" s="78" t="inlineStr"/>
    </row>
    <row r="179" ht="22" customHeight="1">
      <c r="A179" s="78" t="n">
        <v>178</v>
      </c>
      <c r="B179" s="78" t="inlineStr">
        <is>
          <t>报关</t>
        </is>
      </c>
      <c r="C179" s="78" t="inlineStr">
        <is>
          <t>报关物料</t>
        </is>
      </c>
      <c r="D179" s="78" t="inlineStr">
        <is>
          <t>主表</t>
        </is>
      </c>
      <c r="E179" s="78" t="inlineStr">
        <is>
          <t>material_code</t>
        </is>
      </c>
      <c r="F179" s="78" t="inlineStr">
        <is>
          <t>物料编号</t>
        </is>
      </c>
      <c r="G179" s="78" t="inlineStr">
        <is>
          <t>文本</t>
        </is>
      </c>
      <c r="H179" s="78" t="inlineStr">
        <is>
          <t>是</t>
        </is>
      </c>
      <c r="I179" s="78" t="inlineStr">
        <is>
          <t>唯一主键</t>
        </is>
      </c>
    </row>
    <row r="180" ht="22" customHeight="1">
      <c r="A180" s="78" t="n">
        <v>179</v>
      </c>
      <c r="B180" s="78" t="inlineStr">
        <is>
          <t>报关</t>
        </is>
      </c>
      <c r="C180" s="78" t="inlineStr">
        <is>
          <t>报关物料</t>
        </is>
      </c>
      <c r="D180" s="78" t="inlineStr">
        <is>
          <t>主表</t>
        </is>
      </c>
      <c r="E180" s="78" t="inlineStr">
        <is>
          <t>receipt_no</t>
        </is>
      </c>
      <c r="F180" s="78" t="inlineStr">
        <is>
          <t>入仓单号</t>
        </is>
      </c>
      <c r="G180" s="78" t="inlineStr">
        <is>
          <t>文本</t>
        </is>
      </c>
      <c r="H180" s="78" t="inlineStr">
        <is>
          <t>否</t>
        </is>
      </c>
      <c r="I180" s="78" t="inlineStr"/>
    </row>
    <row r="181" ht="22" customHeight="1">
      <c r="A181" s="78" t="n">
        <v>180</v>
      </c>
      <c r="B181" s="78" t="inlineStr">
        <is>
          <t>报关</t>
        </is>
      </c>
      <c r="C181" s="78" t="inlineStr">
        <is>
          <t>报关物料</t>
        </is>
      </c>
      <c r="D181" s="78" t="inlineStr">
        <is>
          <t>主表</t>
        </is>
      </c>
      <c r="E181" s="78" t="inlineStr">
        <is>
          <t>contract_no</t>
        </is>
      </c>
      <c r="F181" s="78" t="inlineStr">
        <is>
          <t>合同号</t>
        </is>
      </c>
      <c r="G181" s="78" t="inlineStr">
        <is>
          <t>文本</t>
        </is>
      </c>
      <c r="H181" s="78" t="inlineStr">
        <is>
          <t>否</t>
        </is>
      </c>
      <c r="I181" s="78" t="inlineStr"/>
    </row>
    <row r="182" ht="22" customHeight="1">
      <c r="A182" s="78" t="n">
        <v>181</v>
      </c>
      <c r="B182" s="78" t="inlineStr">
        <is>
          <t>报关</t>
        </is>
      </c>
      <c r="C182" s="78" t="inlineStr">
        <is>
          <t>报关物料</t>
        </is>
      </c>
      <c r="D182" s="78" t="inlineStr">
        <is>
          <t>主表</t>
        </is>
      </c>
      <c r="E182" s="78" t="inlineStr">
        <is>
          <t>packing_list_no</t>
        </is>
      </c>
      <c r="F182" s="78" t="inlineStr">
        <is>
          <t>箱单号</t>
        </is>
      </c>
      <c r="G182" s="78" t="inlineStr">
        <is>
          <t>文本</t>
        </is>
      </c>
      <c r="H182" s="78" t="inlineStr">
        <is>
          <t>否</t>
        </is>
      </c>
      <c r="I182" s="78" t="inlineStr"/>
    </row>
    <row r="183" ht="22" customHeight="1">
      <c r="A183" s="78" t="n">
        <v>182</v>
      </c>
      <c r="B183" s="78" t="inlineStr">
        <is>
          <t>报关</t>
        </is>
      </c>
      <c r="C183" s="78" t="inlineStr">
        <is>
          <t>报关物料</t>
        </is>
      </c>
      <c r="D183" s="78" t="inlineStr">
        <is>
          <t>主表</t>
        </is>
      </c>
      <c r="E183" s="78" t="inlineStr">
        <is>
          <t>material_category</t>
        </is>
      </c>
      <c r="F183" s="78" t="inlineStr">
        <is>
          <t>物料大类</t>
        </is>
      </c>
      <c r="G183" s="78" t="inlineStr">
        <is>
          <t>文本</t>
        </is>
      </c>
      <c r="H183" s="78" t="inlineStr">
        <is>
          <t>否</t>
        </is>
      </c>
      <c r="I183" s="78" t="inlineStr"/>
    </row>
    <row r="184" ht="22" customHeight="1">
      <c r="A184" s="78" t="n">
        <v>183</v>
      </c>
      <c r="B184" s="78" t="inlineStr">
        <is>
          <t>报关</t>
        </is>
      </c>
      <c r="C184" s="78" t="inlineStr">
        <is>
          <t>报关物料</t>
        </is>
      </c>
      <c r="D184" s="78" t="inlineStr">
        <is>
          <t>主表</t>
        </is>
      </c>
      <c r="E184" s="78" t="inlineStr">
        <is>
          <t>equipment</t>
        </is>
      </c>
      <c r="F184" s="78" t="inlineStr">
        <is>
          <t>使用设备</t>
        </is>
      </c>
      <c r="G184" s="78" t="inlineStr">
        <is>
          <t>文本</t>
        </is>
      </c>
      <c r="H184" s="78" t="inlineStr">
        <is>
          <t>否</t>
        </is>
      </c>
      <c r="I184" s="78" t="inlineStr"/>
    </row>
    <row r="185" ht="22" customHeight="1">
      <c r="A185" s="78" t="n">
        <v>184</v>
      </c>
      <c r="B185" s="78" t="inlineStr">
        <is>
          <t>报关</t>
        </is>
      </c>
      <c r="C185" s="78" t="inlineStr">
        <is>
          <t>报关物料</t>
        </is>
      </c>
      <c r="D185" s="78" t="inlineStr">
        <is>
          <t>主表</t>
        </is>
      </c>
      <c r="E185" s="78" t="inlineStr">
        <is>
          <t>origin_country</t>
        </is>
      </c>
      <c r="F185" s="78" t="inlineStr">
        <is>
          <t>产地</t>
        </is>
      </c>
      <c r="G185" s="78" t="inlineStr">
        <is>
          <t>文本</t>
        </is>
      </c>
      <c r="H185" s="78" t="inlineStr">
        <is>
          <t>否</t>
        </is>
      </c>
      <c r="I185" s="78" t="inlineStr"/>
    </row>
    <row r="186" ht="22" customHeight="1">
      <c r="A186" s="78" t="n">
        <v>185</v>
      </c>
      <c r="B186" s="78" t="inlineStr">
        <is>
          <t>报关</t>
        </is>
      </c>
      <c r="C186" s="78" t="inlineStr">
        <is>
          <t>报关物料</t>
        </is>
      </c>
      <c r="D186" s="78" t="inlineStr">
        <is>
          <t>主表</t>
        </is>
      </c>
      <c r="E186" s="78" t="inlineStr">
        <is>
          <t>quantity</t>
        </is>
      </c>
      <c r="F186" s="78" t="inlineStr">
        <is>
          <t>数量</t>
        </is>
      </c>
      <c r="G186" s="78" t="inlineStr">
        <is>
          <t>文本</t>
        </is>
      </c>
      <c r="H186" s="78" t="inlineStr">
        <is>
          <t>否</t>
        </is>
      </c>
      <c r="I186" s="78" t="inlineStr">
        <is>
          <t>大于 0</t>
        </is>
      </c>
    </row>
    <row r="187" ht="22" customHeight="1">
      <c r="A187" s="78" t="n">
        <v>186</v>
      </c>
      <c r="B187" s="78" t="inlineStr">
        <is>
          <t>报关</t>
        </is>
      </c>
      <c r="C187" s="78" t="inlineStr">
        <is>
          <t>报关物料</t>
        </is>
      </c>
      <c r="D187" s="78" t="inlineStr">
        <is>
          <t>主表</t>
        </is>
      </c>
      <c r="E187" s="78" t="inlineStr">
        <is>
          <t>unit</t>
        </is>
      </c>
      <c r="F187" s="78" t="inlineStr">
        <is>
          <t>单位</t>
        </is>
      </c>
      <c r="G187" s="78" t="inlineStr">
        <is>
          <t>文本</t>
        </is>
      </c>
      <c r="H187" s="78" t="inlineStr">
        <is>
          <t>否</t>
        </is>
      </c>
      <c r="I187" s="78" t="inlineStr"/>
    </row>
    <row r="188" ht="22" customHeight="1">
      <c r="A188" s="78" t="n">
        <v>187</v>
      </c>
      <c r="B188" s="78" t="inlineStr">
        <is>
          <t>报关</t>
        </is>
      </c>
      <c r="C188" s="78" t="inlineStr">
        <is>
          <t>报关物料</t>
        </is>
      </c>
      <c r="D188" s="78" t="inlineStr">
        <is>
          <t>主表</t>
        </is>
      </c>
      <c r="E188" s="78" t="inlineStr">
        <is>
          <t>price</t>
        </is>
      </c>
      <c r="F188" s="78" t="inlineStr">
        <is>
          <t>含税单价</t>
        </is>
      </c>
      <c r="G188" s="78" t="inlineStr">
        <is>
          <t>文本</t>
        </is>
      </c>
      <c r="H188" s="78" t="inlineStr">
        <is>
          <t>否</t>
        </is>
      </c>
      <c r="I188" s="78" t="inlineStr"/>
    </row>
    <row r="189" ht="22" customHeight="1">
      <c r="A189" s="78" t="n">
        <v>188</v>
      </c>
      <c r="B189" s="78" t="inlineStr">
        <is>
          <t>报关</t>
        </is>
      </c>
      <c r="C189" s="78" t="inlineStr">
        <is>
          <t>报关物料</t>
        </is>
      </c>
      <c r="D189" s="78" t="inlineStr">
        <is>
          <t>主表</t>
        </is>
      </c>
      <c r="E189" s="78" t="inlineStr">
        <is>
          <t>gross_weight</t>
        </is>
      </c>
      <c r="F189" s="78" t="inlineStr">
        <is>
          <t>毛重</t>
        </is>
      </c>
      <c r="G189" s="78" t="inlineStr">
        <is>
          <t>文本</t>
        </is>
      </c>
      <c r="H189" s="78" t="inlineStr">
        <is>
          <t>否</t>
        </is>
      </c>
      <c r="I189" s="78" t="inlineStr"/>
    </row>
    <row r="190" ht="22" customHeight="1">
      <c r="A190" s="78" t="n">
        <v>189</v>
      </c>
      <c r="B190" s="78" t="inlineStr">
        <is>
          <t>报关</t>
        </is>
      </c>
      <c r="C190" s="78" t="inlineStr">
        <is>
          <t>报关物料</t>
        </is>
      </c>
      <c r="D190" s="78" t="inlineStr">
        <is>
          <t>主表</t>
        </is>
      </c>
      <c r="E190" s="78" t="inlineStr">
        <is>
          <t>net_weight</t>
        </is>
      </c>
      <c r="F190" s="78" t="inlineStr">
        <is>
          <t>净重</t>
        </is>
      </c>
      <c r="G190" s="78" t="inlineStr">
        <is>
          <t>文本</t>
        </is>
      </c>
      <c r="H190" s="78" t="inlineStr">
        <is>
          <t>否</t>
        </is>
      </c>
      <c r="I190" s="78" t="inlineStr"/>
    </row>
    <row r="191" ht="22" customHeight="1">
      <c r="A191" s="78" t="n">
        <v>190</v>
      </c>
      <c r="B191" s="78" t="inlineStr">
        <is>
          <t>报关</t>
        </is>
      </c>
      <c r="C191" s="78" t="inlineStr">
        <is>
          <t>报关物料</t>
        </is>
      </c>
      <c r="D191" s="78" t="inlineStr">
        <is>
          <t>主表</t>
        </is>
      </c>
      <c r="E191" s="78" t="inlineStr">
        <is>
          <t>volume</t>
        </is>
      </c>
      <c r="F191" s="78" t="inlineStr">
        <is>
          <t>体积</t>
        </is>
      </c>
      <c r="G191" s="78" t="inlineStr">
        <is>
          <t>文本</t>
        </is>
      </c>
      <c r="H191" s="78" t="inlineStr">
        <is>
          <t>否</t>
        </is>
      </c>
      <c r="I191" s="78" t="inlineStr"/>
    </row>
    <row r="192" ht="22" customHeight="1">
      <c r="A192" s="78" t="n">
        <v>191</v>
      </c>
      <c r="B192" s="78" t="inlineStr">
        <is>
          <t>报关</t>
        </is>
      </c>
      <c r="C192" s="78" t="inlineStr">
        <is>
          <t>报关物料</t>
        </is>
      </c>
      <c r="D192" s="78" t="inlineStr">
        <is>
          <t>主表</t>
        </is>
      </c>
      <c r="E192" s="78" t="inlineStr">
        <is>
          <t>length</t>
        </is>
      </c>
      <c r="F192" s="78" t="inlineStr">
        <is>
          <t>长</t>
        </is>
      </c>
      <c r="G192" s="78" t="inlineStr">
        <is>
          <t>文本</t>
        </is>
      </c>
      <c r="H192" s="78" t="inlineStr">
        <is>
          <t>否</t>
        </is>
      </c>
      <c r="I192" s="78" t="inlineStr"/>
    </row>
    <row r="193" ht="22" customHeight="1">
      <c r="A193" s="78" t="n">
        <v>192</v>
      </c>
      <c r="B193" s="78" t="inlineStr">
        <is>
          <t>报关</t>
        </is>
      </c>
      <c r="C193" s="78" t="inlineStr">
        <is>
          <t>报关物料</t>
        </is>
      </c>
      <c r="D193" s="78" t="inlineStr">
        <is>
          <t>主表</t>
        </is>
      </c>
      <c r="E193" s="78" t="inlineStr">
        <is>
          <t>width</t>
        </is>
      </c>
      <c r="F193" s="78" t="inlineStr">
        <is>
          <t>宽</t>
        </is>
      </c>
      <c r="G193" s="78" t="inlineStr">
        <is>
          <t>文本</t>
        </is>
      </c>
      <c r="H193" s="78" t="inlineStr">
        <is>
          <t>否</t>
        </is>
      </c>
      <c r="I193" s="78" t="inlineStr"/>
    </row>
    <row r="194" ht="22" customHeight="1">
      <c r="A194" s="78" t="n">
        <v>193</v>
      </c>
      <c r="B194" s="78" t="inlineStr">
        <is>
          <t>报关</t>
        </is>
      </c>
      <c r="C194" s="78" t="inlineStr">
        <is>
          <t>报关物料</t>
        </is>
      </c>
      <c r="D194" s="78" t="inlineStr">
        <is>
          <t>主表</t>
        </is>
      </c>
      <c r="E194" s="78" t="inlineStr">
        <is>
          <t>height</t>
        </is>
      </c>
      <c r="F194" s="78" t="inlineStr">
        <is>
          <t>高</t>
        </is>
      </c>
      <c r="G194" s="78" t="inlineStr">
        <is>
          <t>文本</t>
        </is>
      </c>
      <c r="H194" s="78" t="inlineStr">
        <is>
          <t>否</t>
        </is>
      </c>
      <c r="I194" s="78" t="inlineStr"/>
    </row>
    <row r="195" ht="22" customHeight="1">
      <c r="A195" s="78" t="n">
        <v>194</v>
      </c>
      <c r="B195" s="78" t="inlineStr">
        <is>
          <t>报关</t>
        </is>
      </c>
      <c r="C195" s="78" t="inlineStr">
        <is>
          <t>报关物料</t>
        </is>
      </c>
      <c r="D195" s="78" t="inlineStr">
        <is>
          <t>主表</t>
        </is>
      </c>
      <c r="E195" s="78" t="inlineStr">
        <is>
          <t>box_no</t>
        </is>
      </c>
      <c r="F195" s="78" t="inlineStr">
        <is>
          <t>箱号</t>
        </is>
      </c>
      <c r="G195" s="78" t="inlineStr">
        <is>
          <t>文本</t>
        </is>
      </c>
      <c r="H195" s="78" t="inlineStr">
        <is>
          <t>否</t>
        </is>
      </c>
      <c r="I195" s="78" t="inlineStr"/>
    </row>
    <row r="196" ht="22" customHeight="1">
      <c r="A196" s="78" t="n">
        <v>195</v>
      </c>
      <c r="B196" s="78" t="inlineStr">
        <is>
          <t>报关</t>
        </is>
      </c>
      <c r="C196" s="78" t="inlineStr">
        <is>
          <t>报关物料</t>
        </is>
      </c>
      <c r="D196" s="78" t="inlineStr">
        <is>
          <t>主表</t>
        </is>
      </c>
      <c r="E196" s="78" t="inlineStr">
        <is>
          <t>container_no</t>
        </is>
      </c>
      <c r="F196" s="78" t="inlineStr">
        <is>
          <t>集装箱号</t>
        </is>
      </c>
      <c r="G196" s="78" t="inlineStr">
        <is>
          <t>文本</t>
        </is>
      </c>
      <c r="H196" s="78" t="inlineStr">
        <is>
          <t>否</t>
        </is>
      </c>
      <c r="I196" s="78" t="inlineStr"/>
    </row>
    <row r="197" ht="22" customHeight="1">
      <c r="A197" s="78" t="n">
        <v>196</v>
      </c>
      <c r="B197" s="78" t="inlineStr">
        <is>
          <t>报关</t>
        </is>
      </c>
      <c r="C197" s="78" t="inlineStr">
        <is>
          <t>报关物料</t>
        </is>
      </c>
      <c r="D197" s="78" t="inlineStr">
        <is>
          <t>主表</t>
        </is>
      </c>
      <c r="E197" s="78" t="inlineStr">
        <is>
          <t>bill_no</t>
        </is>
      </c>
      <c r="F197" s="78" t="inlineStr">
        <is>
          <t>提单号</t>
        </is>
      </c>
      <c r="G197" s="78" t="inlineStr">
        <is>
          <t>文本</t>
        </is>
      </c>
      <c r="H197" s="78" t="inlineStr">
        <is>
          <t>否</t>
        </is>
      </c>
      <c r="I197" s="78" t="inlineStr"/>
    </row>
    <row r="198" ht="22" customHeight="1">
      <c r="A198" s="78" t="n">
        <v>197</v>
      </c>
      <c r="B198" s="78" t="inlineStr">
        <is>
          <t>报关</t>
        </is>
      </c>
      <c r="C198" s="78" t="inlineStr">
        <is>
          <t>报关物料</t>
        </is>
      </c>
      <c r="D198" s="78" t="inlineStr">
        <is>
          <t>主表</t>
        </is>
      </c>
      <c r="E198" s="78" t="inlineStr">
        <is>
          <t>vessel_name</t>
        </is>
      </c>
      <c r="F198" s="78" t="inlineStr">
        <is>
          <t>船名</t>
        </is>
      </c>
      <c r="G198" s="78" t="inlineStr">
        <is>
          <t>文本</t>
        </is>
      </c>
      <c r="H198" s="78" t="inlineStr">
        <is>
          <t>否</t>
        </is>
      </c>
      <c r="I198" s="78" t="inlineStr"/>
    </row>
    <row r="199" ht="22" customHeight="1">
      <c r="A199" s="78" t="n">
        <v>198</v>
      </c>
      <c r="B199" s="78" t="inlineStr">
        <is>
          <t>报关</t>
        </is>
      </c>
      <c r="C199" s="78" t="inlineStr">
        <is>
          <t>报关物料</t>
        </is>
      </c>
      <c r="D199" s="78" t="inlineStr">
        <is>
          <t>主表</t>
        </is>
      </c>
      <c r="E199" s="78" t="inlineStr">
        <is>
          <t>voyage_no</t>
        </is>
      </c>
      <c r="F199" s="78" t="inlineStr">
        <is>
          <t>航号</t>
        </is>
      </c>
      <c r="G199" s="78" t="inlineStr">
        <is>
          <t>文本</t>
        </is>
      </c>
      <c r="H199" s="78" t="inlineStr">
        <is>
          <t>否</t>
        </is>
      </c>
      <c r="I199" s="78" t="inlineStr"/>
    </row>
    <row r="200" ht="22" customHeight="1">
      <c r="A200" s="78" t="n">
        <v>199</v>
      </c>
      <c r="B200" s="78" t="inlineStr">
        <is>
          <t>报关</t>
        </is>
      </c>
      <c r="C200" s="78" t="inlineStr">
        <is>
          <t>报关物料</t>
        </is>
      </c>
      <c r="D200" s="78" t="inlineStr">
        <is>
          <t>主表</t>
        </is>
      </c>
      <c r="E200" s="78" t="inlineStr">
        <is>
          <t>po_no</t>
        </is>
      </c>
      <c r="F200" s="78" t="inlineStr">
        <is>
          <t>PO号</t>
        </is>
      </c>
      <c r="G200" s="78" t="inlineStr">
        <is>
          <t>文本</t>
        </is>
      </c>
      <c r="H200" s="78" t="inlineStr">
        <is>
          <t>否</t>
        </is>
      </c>
      <c r="I200" s="78" t="inlineStr"/>
    </row>
    <row r="201" ht="22" customHeight="1">
      <c r="A201" s="78" t="n">
        <v>200</v>
      </c>
      <c r="B201" s="78" t="inlineStr">
        <is>
          <t>报关</t>
        </is>
      </c>
      <c r="C201" s="78" t="inlineStr">
        <is>
          <t>报关物料</t>
        </is>
      </c>
      <c r="D201" s="78" t="inlineStr">
        <is>
          <t>主表</t>
        </is>
      </c>
      <c r="E201" s="78" t="inlineStr">
        <is>
          <t>port_of_shipment</t>
        </is>
      </c>
      <c r="F201" s="78" t="inlineStr">
        <is>
          <t>出发港</t>
        </is>
      </c>
      <c r="G201" s="78" t="inlineStr">
        <is>
          <t>文本</t>
        </is>
      </c>
      <c r="H201" s="78" t="inlineStr">
        <is>
          <t>否</t>
        </is>
      </c>
      <c r="I201" s="78" t="inlineStr"/>
    </row>
    <row r="202" ht="22" customHeight="1">
      <c r="A202" s="78" t="n">
        <v>201</v>
      </c>
      <c r="B202" s="78" t="inlineStr">
        <is>
          <t>报关</t>
        </is>
      </c>
      <c r="C202" s="78" t="inlineStr">
        <is>
          <t>报关物料</t>
        </is>
      </c>
      <c r="D202" s="78" t="inlineStr">
        <is>
          <t>主表</t>
        </is>
      </c>
      <c r="E202" s="78" t="inlineStr">
        <is>
          <t>port_of_destination</t>
        </is>
      </c>
      <c r="F202" s="78" t="inlineStr">
        <is>
          <t>目的港</t>
        </is>
      </c>
      <c r="G202" s="78" t="inlineStr">
        <is>
          <t>文本</t>
        </is>
      </c>
      <c r="H202" s="78" t="inlineStr">
        <is>
          <t>否</t>
        </is>
      </c>
      <c r="I202" s="78" t="inlineStr"/>
    </row>
    <row r="203" ht="22" customHeight="1">
      <c r="A203" s="78" t="n">
        <v>202</v>
      </c>
      <c r="B203" s="78" t="inlineStr">
        <is>
          <t>报关</t>
        </is>
      </c>
      <c r="C203" s="78" t="inlineStr">
        <is>
          <t>报关物料</t>
        </is>
      </c>
      <c r="D203" s="78" t="inlineStr">
        <is>
          <t>主表</t>
        </is>
      </c>
      <c r="E203" s="78" t="inlineStr">
        <is>
          <t>consignee</t>
        </is>
      </c>
      <c r="F203" s="78" t="inlineStr">
        <is>
          <t>收货人</t>
        </is>
      </c>
      <c r="G203" s="78" t="inlineStr">
        <is>
          <t>文本</t>
        </is>
      </c>
      <c r="H203" s="78" t="inlineStr">
        <is>
          <t>否</t>
        </is>
      </c>
      <c r="I203" s="78" t="inlineStr"/>
    </row>
    <row r="204" ht="22" customHeight="1">
      <c r="A204" s="78" t="n">
        <v>203</v>
      </c>
      <c r="B204" s="78" t="inlineStr">
        <is>
          <t>报关</t>
        </is>
      </c>
      <c r="C204" s="78" t="inlineStr">
        <is>
          <t>报关物料</t>
        </is>
      </c>
      <c r="D204" s="78" t="inlineStr">
        <is>
          <t>主表</t>
        </is>
      </c>
      <c r="E204" s="78" t="inlineStr">
        <is>
          <t>payment_terms</t>
        </is>
      </c>
      <c r="F204" s="78" t="inlineStr">
        <is>
          <t>付款条款</t>
        </is>
      </c>
      <c r="G204" s="78" t="inlineStr">
        <is>
          <t>文本</t>
        </is>
      </c>
      <c r="H204" s="78" t="inlineStr">
        <is>
          <t>否</t>
        </is>
      </c>
      <c r="I204" s="78" t="inlineStr"/>
    </row>
    <row r="205" ht="22" customHeight="1">
      <c r="A205" s="78" t="n">
        <v>204</v>
      </c>
      <c r="B205" s="78" t="inlineStr">
        <is>
          <t>报关</t>
        </is>
      </c>
      <c r="C205" s="78" t="inlineStr">
        <is>
          <t>报关物料</t>
        </is>
      </c>
      <c r="D205" s="78" t="inlineStr">
        <is>
          <t>主表</t>
        </is>
      </c>
      <c r="E205" s="78" t="inlineStr">
        <is>
          <t>hs_code</t>
        </is>
      </c>
      <c r="F205" s="78" t="inlineStr">
        <is>
          <t>HS Code</t>
        </is>
      </c>
      <c r="G205" s="78" t="inlineStr">
        <is>
          <t>文本</t>
        </is>
      </c>
      <c r="H205" s="78" t="inlineStr">
        <is>
          <t>否</t>
        </is>
      </c>
      <c r="I205" s="78" t="inlineStr"/>
    </row>
    <row r="206" ht="22" customHeight="1">
      <c r="A206" s="78" t="n">
        <v>205</v>
      </c>
      <c r="B206" s="78" t="inlineStr">
        <is>
          <t>报关</t>
        </is>
      </c>
      <c r="C206" s="78" t="inlineStr">
        <is>
          <t>报关物料</t>
        </is>
      </c>
      <c r="D206" s="78" t="inlineStr">
        <is>
          <t>主表</t>
        </is>
      </c>
      <c r="E206" s="78" t="inlineStr">
        <is>
          <t>declaration_elements</t>
        </is>
      </c>
      <c r="F206" s="78" t="inlineStr">
        <is>
          <t>申报要素</t>
        </is>
      </c>
      <c r="G206" s="78" t="inlineStr">
        <is>
          <t>文本</t>
        </is>
      </c>
      <c r="H206" s="78" t="inlineStr">
        <is>
          <t>否</t>
        </is>
      </c>
      <c r="I206" s="78" t="inlineStr"/>
    </row>
    <row r="207" ht="22" customHeight="1">
      <c r="A207" s="78" t="n">
        <v>206</v>
      </c>
      <c r="B207" s="78" t="inlineStr">
        <is>
          <t>报关</t>
        </is>
      </c>
      <c r="C207" s="78" t="inlineStr">
        <is>
          <t>报关物料</t>
        </is>
      </c>
      <c r="D207" s="78" t="inlineStr">
        <is>
          <t>主表</t>
        </is>
      </c>
      <c r="E207" s="78" t="inlineStr">
        <is>
          <t>special_declare</t>
        </is>
      </c>
      <c r="F207" s="78" t="inlineStr">
        <is>
          <t>特殊申报</t>
        </is>
      </c>
      <c r="G207" s="78" t="inlineStr">
        <is>
          <t>是否</t>
        </is>
      </c>
      <c r="H207" s="78" t="inlineStr">
        <is>
          <t>否</t>
        </is>
      </c>
      <c r="I207" s="78" t="inlineStr">
        <is>
          <t>是/否</t>
        </is>
      </c>
    </row>
    <row r="208" ht="22" customHeight="1">
      <c r="A208" s="78" t="n">
        <v>207</v>
      </c>
      <c r="B208" s="78" t="inlineStr">
        <is>
          <t>报关</t>
        </is>
      </c>
      <c r="C208" s="78" t="inlineStr">
        <is>
          <t>报关物料</t>
        </is>
      </c>
      <c r="D208" s="78" t="inlineStr">
        <is>
          <t>主表</t>
        </is>
      </c>
      <c r="E208" s="78" t="inlineStr">
        <is>
          <t>package_count</t>
        </is>
      </c>
      <c r="F208" s="78" t="inlineStr">
        <is>
          <t>包件件数</t>
        </is>
      </c>
      <c r="G208" s="78" t="inlineStr">
        <is>
          <t>整数</t>
        </is>
      </c>
      <c r="H208" s="78" t="inlineStr">
        <is>
          <t>否</t>
        </is>
      </c>
      <c r="I208" s="78" t="inlineStr"/>
    </row>
    <row r="209" ht="22" customHeight="1">
      <c r="A209" s="78" t="n">
        <v>208</v>
      </c>
      <c r="B209" s="78" t="inlineStr">
        <is>
          <t>报关</t>
        </is>
      </c>
      <c r="C209" s="78" t="inlineStr">
        <is>
          <t>报关物料</t>
        </is>
      </c>
      <c r="D209" s="78" t="inlineStr">
        <is>
          <t>主表</t>
        </is>
      </c>
      <c r="E209" s="78" t="inlineStr">
        <is>
          <t>status</t>
        </is>
      </c>
      <c r="F209" s="78" t="inlineStr">
        <is>
          <t>状态</t>
        </is>
      </c>
      <c r="G209" s="78" t="inlineStr">
        <is>
          <t>文本</t>
        </is>
      </c>
      <c r="H209" s="78" t="inlineStr">
        <is>
          <t>否</t>
        </is>
      </c>
      <c r="I209" s="78" t="inlineStr"/>
    </row>
    <row r="210" ht="22" customHeight="1">
      <c r="A210" s="78" t="n">
        <v>209</v>
      </c>
      <c r="B210" s="78" t="inlineStr">
        <is>
          <t>报关</t>
        </is>
      </c>
      <c r="C210" s="78" t="inlineStr">
        <is>
          <t>报关物料</t>
        </is>
      </c>
      <c r="D210" s="78" t="inlineStr">
        <is>
          <t>主表</t>
        </is>
      </c>
      <c r="E210" s="78" t="inlineStr">
        <is>
          <t>remark</t>
        </is>
      </c>
      <c r="F210" s="78" t="inlineStr">
        <is>
          <t>备注</t>
        </is>
      </c>
      <c r="G210" s="78" t="inlineStr">
        <is>
          <t>文本</t>
        </is>
      </c>
      <c r="H210" s="78" t="inlineStr">
        <is>
          <t>否</t>
        </is>
      </c>
      <c r="I210" s="78" t="inlineStr"/>
    </row>
    <row r="211" ht="22" customHeight="1">
      <c r="A211" s="78" t="n">
        <v>210</v>
      </c>
      <c r="B211" s="78" t="inlineStr">
        <is>
          <t>编号</t>
        </is>
      </c>
      <c r="C211" s="78" t="inlineStr">
        <is>
          <t>合同编号</t>
        </is>
      </c>
      <c r="D211" s="78" t="inlineStr">
        <is>
          <t>主表</t>
        </is>
      </c>
      <c r="E211" s="78" t="inlineStr">
        <is>
          <t>contract_no</t>
        </is>
      </c>
      <c r="F211" s="78" t="inlineStr">
        <is>
          <t>合同编号</t>
        </is>
      </c>
      <c r="G211" s="78" t="inlineStr">
        <is>
          <t>文本</t>
        </is>
      </c>
      <c r="H211" s="78" t="inlineStr">
        <is>
          <t>是</t>
        </is>
      </c>
      <c r="I211" s="78" t="inlineStr">
        <is>
          <t>编号规则生成或手工登记</t>
        </is>
      </c>
    </row>
    <row r="212" ht="22" customHeight="1">
      <c r="A212" s="78" t="n">
        <v>211</v>
      </c>
      <c r="B212" s="78" t="inlineStr">
        <is>
          <t>编号</t>
        </is>
      </c>
      <c r="C212" s="78" t="inlineStr">
        <is>
          <t>合同编号</t>
        </is>
      </c>
      <c r="D212" s="78" t="inlineStr">
        <is>
          <t>主表</t>
        </is>
      </c>
      <c r="E212" s="78" t="inlineStr">
        <is>
          <t>business_type</t>
        </is>
      </c>
      <c r="F212" s="78" t="inlineStr">
        <is>
          <t>业务类型</t>
        </is>
      </c>
      <c r="G212" s="78" t="inlineStr">
        <is>
          <t>文本</t>
        </is>
      </c>
      <c r="H212" s="78" t="inlineStr">
        <is>
          <t>是</t>
        </is>
      </c>
      <c r="I212" s="78" t="inlineStr">
        <is>
          <t>锰矿 / 铝矿</t>
        </is>
      </c>
    </row>
    <row r="213" ht="22" customHeight="1">
      <c r="A213" s="78" t="n">
        <v>212</v>
      </c>
      <c r="B213" s="78" t="inlineStr">
        <is>
          <t>编号</t>
        </is>
      </c>
      <c r="C213" s="78" t="inlineStr">
        <is>
          <t>合同编号</t>
        </is>
      </c>
      <c r="D213" s="78" t="inlineStr">
        <is>
          <t>主表</t>
        </is>
      </c>
      <c r="E213" s="78" t="inlineStr">
        <is>
          <t>number_year</t>
        </is>
      </c>
      <c r="F213" s="78" t="inlineStr">
        <is>
          <t>编号年份</t>
        </is>
      </c>
      <c r="G213" s="78" t="inlineStr">
        <is>
          <t>整数</t>
        </is>
      </c>
      <c r="H213" s="78" t="inlineStr">
        <is>
          <t>是</t>
        </is>
      </c>
      <c r="I213" s="78" t="inlineStr">
        <is>
          <t>2 位或 4 位按规则</t>
        </is>
      </c>
    </row>
    <row r="214" ht="22" customHeight="1">
      <c r="A214" s="78" t="n">
        <v>213</v>
      </c>
      <c r="B214" s="78" t="inlineStr">
        <is>
          <t>编号</t>
        </is>
      </c>
      <c r="C214" s="78" t="inlineStr">
        <is>
          <t>合同编号</t>
        </is>
      </c>
      <c r="D214" s="78" t="inlineStr">
        <is>
          <t>主表</t>
        </is>
      </c>
      <c r="E214" s="78" t="inlineStr">
        <is>
          <t>num_pool</t>
        </is>
      </c>
      <c r="F214" s="78" t="inlineStr">
        <is>
          <t>编号池</t>
        </is>
      </c>
      <c r="G214" s="78" t="inlineStr">
        <is>
          <t>文本</t>
        </is>
      </c>
      <c r="H214" s="78" t="inlineStr">
        <is>
          <t>否</t>
        </is>
      </c>
      <c r="I214" s="78" t="inlineStr">
        <is>
          <t>服务端记录</t>
        </is>
      </c>
    </row>
    <row r="215" ht="22" customHeight="1">
      <c r="A215" s="78" t="n">
        <v>214</v>
      </c>
      <c r="B215" s="78" t="inlineStr">
        <is>
          <t>编号</t>
        </is>
      </c>
      <c r="C215" s="78" t="inlineStr">
        <is>
          <t>合同编号</t>
        </is>
      </c>
      <c r="D215" s="78" t="inlineStr">
        <is>
          <t>主表</t>
        </is>
      </c>
      <c r="E215" s="78" t="inlineStr">
        <is>
          <t>num_seq</t>
        </is>
      </c>
      <c r="F215" s="78" t="inlineStr">
        <is>
          <t>顺序号</t>
        </is>
      </c>
      <c r="G215" s="78" t="inlineStr">
        <is>
          <t>整数</t>
        </is>
      </c>
      <c r="H215" s="78" t="inlineStr">
        <is>
          <t>否</t>
        </is>
      </c>
      <c r="I215" s="78" t="inlineStr">
        <is>
          <t>服务端记录；改名后继续递增</t>
        </is>
      </c>
    </row>
    <row r="216" ht="22" customHeight="1">
      <c r="A216" s="78" t="n">
        <v>215</v>
      </c>
      <c r="B216" s="78" t="inlineStr">
        <is>
          <t>编号</t>
        </is>
      </c>
      <c r="C216" s="78" t="inlineStr">
        <is>
          <t>合同编号</t>
        </is>
      </c>
      <c r="D216" s="78" t="inlineStr">
        <is>
          <t>主表</t>
        </is>
      </c>
      <c r="E216" s="78" t="inlineStr">
        <is>
          <t>product_name</t>
        </is>
      </c>
      <c r="F216" s="78" t="inlineStr">
        <is>
          <t>产品/合同名称</t>
        </is>
      </c>
      <c r="G216" s="78" t="inlineStr">
        <is>
          <t>文本</t>
        </is>
      </c>
      <c r="H216" s="78" t="inlineStr">
        <is>
          <t>否</t>
        </is>
      </c>
      <c r="I216" s="78" t="inlineStr"/>
    </row>
    <row r="217" ht="22" customHeight="1">
      <c r="A217" s="78" t="n">
        <v>216</v>
      </c>
      <c r="B217" s="78" t="inlineStr">
        <is>
          <t>编号</t>
        </is>
      </c>
      <c r="C217" s="78" t="inlineStr">
        <is>
          <t>合同编号</t>
        </is>
      </c>
      <c r="D217" s="78" t="inlineStr">
        <is>
          <t>主表</t>
        </is>
      </c>
      <c r="E217" s="78" t="inlineStr">
        <is>
          <t>party_b</t>
        </is>
      </c>
      <c r="F217" s="78" t="inlineStr">
        <is>
          <t>乙方</t>
        </is>
      </c>
      <c r="G217" s="78" t="inlineStr">
        <is>
          <t>文本</t>
        </is>
      </c>
      <c r="H217" s="78" t="inlineStr">
        <is>
          <t>否</t>
        </is>
      </c>
      <c r="I217" s="78" t="inlineStr"/>
    </row>
    <row r="218" ht="22" customHeight="1">
      <c r="A218" s="78" t="n">
        <v>217</v>
      </c>
      <c r="B218" s="78" t="inlineStr">
        <is>
          <t>编号</t>
        </is>
      </c>
      <c r="C218" s="78" t="inlineStr">
        <is>
          <t>合同编号</t>
        </is>
      </c>
      <c r="D218" s="78" t="inlineStr">
        <is>
          <t>主表</t>
        </is>
      </c>
      <c r="E218" s="78" t="inlineStr">
        <is>
          <t>party_a</t>
        </is>
      </c>
      <c r="F218" s="78" t="inlineStr">
        <is>
          <t>甲方</t>
        </is>
      </c>
      <c r="G218" s="78" t="inlineStr">
        <is>
          <t>文本</t>
        </is>
      </c>
      <c r="H218" s="78" t="inlineStr">
        <is>
          <t>否</t>
        </is>
      </c>
      <c r="I218" s="78" t="inlineStr"/>
    </row>
    <row r="219" ht="22" customHeight="1">
      <c r="A219" s="78" t="n">
        <v>218</v>
      </c>
      <c r="B219" s="78" t="inlineStr">
        <is>
          <t>编号</t>
        </is>
      </c>
      <c r="C219" s="78" t="inlineStr">
        <is>
          <t>合同编号</t>
        </is>
      </c>
      <c r="D219" s="78" t="inlineStr">
        <is>
          <t>主表</t>
        </is>
      </c>
      <c r="E219" s="78" t="inlineStr">
        <is>
          <t>amount_cny</t>
        </is>
      </c>
      <c r="F219" s="78" t="inlineStr">
        <is>
          <t>合同金额CNY</t>
        </is>
      </c>
      <c r="G219" s="78" t="inlineStr">
        <is>
          <t>文本</t>
        </is>
      </c>
      <c r="H219" s="78" t="inlineStr">
        <is>
          <t>否</t>
        </is>
      </c>
      <c r="I219" s="78" t="inlineStr"/>
    </row>
    <row r="220" ht="22" customHeight="1">
      <c r="A220" s="78" t="n">
        <v>219</v>
      </c>
      <c r="B220" s="78" t="inlineStr">
        <is>
          <t>编号</t>
        </is>
      </c>
      <c r="C220" s="78" t="inlineStr">
        <is>
          <t>合同编号</t>
        </is>
      </c>
      <c r="D220" s="78" t="inlineStr">
        <is>
          <t>主表</t>
        </is>
      </c>
      <c r="E220" s="78" t="inlineStr">
        <is>
          <t>sign_date</t>
        </is>
      </c>
      <c r="F220" s="78" t="inlineStr">
        <is>
          <t>签订时间</t>
        </is>
      </c>
      <c r="G220" s="78" t="inlineStr">
        <is>
          <t>日期</t>
        </is>
      </c>
      <c r="H220" s="78" t="inlineStr">
        <is>
          <t>否</t>
        </is>
      </c>
      <c r="I220" s="78" t="inlineStr"/>
    </row>
    <row r="221" ht="22" customHeight="1">
      <c r="A221" s="78" t="n">
        <v>220</v>
      </c>
      <c r="B221" s="78" t="inlineStr">
        <is>
          <t>编号</t>
        </is>
      </c>
      <c r="C221" s="78" t="inlineStr">
        <is>
          <t>合同编号</t>
        </is>
      </c>
      <c r="D221" s="78" t="inlineStr">
        <is>
          <t>主表</t>
        </is>
      </c>
      <c r="E221" s="78" t="inlineStr">
        <is>
          <t>owner_id</t>
        </is>
      </c>
      <c r="F221" s="78" t="inlineStr">
        <is>
          <t>归属人</t>
        </is>
      </c>
      <c r="G221" s="78" t="inlineStr">
        <is>
          <t>文本</t>
        </is>
      </c>
      <c r="H221" s="78" t="inlineStr">
        <is>
          <t>否</t>
        </is>
      </c>
      <c r="I221" s="78" t="inlineStr">
        <is>
          <t>员工编号</t>
        </is>
      </c>
    </row>
    <row r="222" ht="22" customHeight="1">
      <c r="A222" s="78" t="n">
        <v>221</v>
      </c>
      <c r="B222" s="78" t="inlineStr">
        <is>
          <t>编号</t>
        </is>
      </c>
      <c r="C222" s="78" t="inlineStr">
        <is>
          <t>合同编号</t>
        </is>
      </c>
      <c r="D222" s="78" t="inlineStr">
        <is>
          <t>主表</t>
        </is>
      </c>
      <c r="E222" s="78" t="inlineStr">
        <is>
          <t>purchase_contract_id</t>
        </is>
      </c>
      <c r="F222" s="78" t="inlineStr">
        <is>
          <t>关联采购合同ID</t>
        </is>
      </c>
      <c r="G222" s="78" t="inlineStr">
        <is>
          <t>整数</t>
        </is>
      </c>
      <c r="H222" s="78" t="inlineStr">
        <is>
          <t>否</t>
        </is>
      </c>
      <c r="I222" s="78" t="inlineStr">
        <is>
          <t>系统回写</t>
        </is>
      </c>
    </row>
    <row r="223" ht="22" customHeight="1">
      <c r="A223" s="78" t="n">
        <v>222</v>
      </c>
      <c r="B223" s="78" t="inlineStr">
        <is>
          <t>编号</t>
        </is>
      </c>
      <c r="C223" s="78" t="inlineStr">
        <is>
          <t>合同编号</t>
        </is>
      </c>
      <c r="D223" s="78" t="inlineStr">
        <is>
          <t>主表</t>
        </is>
      </c>
      <c r="E223" s="78" t="inlineStr">
        <is>
          <t>manual_edited</t>
        </is>
      </c>
      <c r="F223" s="78" t="inlineStr">
        <is>
          <t>手工改号</t>
        </is>
      </c>
      <c r="G223" s="78" t="inlineStr">
        <is>
          <t>是否</t>
        </is>
      </c>
      <c r="H223" s="78" t="inlineStr">
        <is>
          <t>否</t>
        </is>
      </c>
      <c r="I223" s="78" t="inlineStr">
        <is>
          <t>只读</t>
        </is>
      </c>
    </row>
    <row r="224" ht="22" customHeight="1">
      <c r="A224" s="78" t="n">
        <v>223</v>
      </c>
      <c r="B224" s="78" t="inlineStr">
        <is>
          <t>编号</t>
        </is>
      </c>
      <c r="C224" s="78" t="inlineStr">
        <is>
          <t>发票编号</t>
        </is>
      </c>
      <c r="D224" s="78" t="inlineStr">
        <is>
          <t>主表</t>
        </is>
      </c>
      <c r="E224" s="78" t="inlineStr">
        <is>
          <t>invoice_no</t>
        </is>
      </c>
      <c r="F224" s="78" t="inlineStr">
        <is>
          <t>发票号</t>
        </is>
      </c>
      <c r="G224" s="78" t="inlineStr">
        <is>
          <t>文本</t>
        </is>
      </c>
      <c r="H224" s="78" t="inlineStr">
        <is>
          <t>是</t>
        </is>
      </c>
      <c r="I224" s="78" t="inlineStr">
        <is>
          <t>编号规则生成或手工登记</t>
        </is>
      </c>
    </row>
    <row r="225" ht="22" customHeight="1">
      <c r="A225" s="78" t="n">
        <v>224</v>
      </c>
      <c r="B225" s="78" t="inlineStr">
        <is>
          <t>编号</t>
        </is>
      </c>
      <c r="C225" s="78" t="inlineStr">
        <is>
          <t>发票编号</t>
        </is>
      </c>
      <c r="D225" s="78" t="inlineStr">
        <is>
          <t>主表</t>
        </is>
      </c>
      <c r="E225" s="78" t="inlineStr">
        <is>
          <t>number_rule</t>
        </is>
      </c>
      <c r="F225" s="78" t="inlineStr">
        <is>
          <t>编号规则</t>
        </is>
      </c>
      <c r="G225" s="78" t="inlineStr">
        <is>
          <t>文本</t>
        </is>
      </c>
      <c r="H225" s="78" t="inlineStr">
        <is>
          <t>是</t>
        </is>
      </c>
      <c r="I225" s="78" t="inlineStr">
        <is>
          <t>锰矿 / 铝矿海运 / 铝矿空运</t>
        </is>
      </c>
    </row>
    <row r="226" ht="22" customHeight="1">
      <c r="A226" s="78" t="n">
        <v>225</v>
      </c>
      <c r="B226" s="78" t="inlineStr">
        <is>
          <t>编号</t>
        </is>
      </c>
      <c r="C226" s="78" t="inlineStr">
        <is>
          <t>发票编号</t>
        </is>
      </c>
      <c r="D226" s="78" t="inlineStr">
        <is>
          <t>主表</t>
        </is>
      </c>
      <c r="E226" s="78" t="inlineStr">
        <is>
          <t>business_type</t>
        </is>
      </c>
      <c r="F226" s="78" t="inlineStr">
        <is>
          <t>业务类型</t>
        </is>
      </c>
      <c r="G226" s="78" t="inlineStr">
        <is>
          <t>文本</t>
        </is>
      </c>
      <c r="H226" s="78" t="inlineStr">
        <is>
          <t>否</t>
        </is>
      </c>
      <c r="I226" s="78" t="inlineStr"/>
    </row>
    <row r="227" ht="22" customHeight="1">
      <c r="A227" s="78" t="n">
        <v>226</v>
      </c>
      <c r="B227" s="78" t="inlineStr">
        <is>
          <t>编号</t>
        </is>
      </c>
      <c r="C227" s="78" t="inlineStr">
        <is>
          <t>发票编号</t>
        </is>
      </c>
      <c r="D227" s="78" t="inlineStr">
        <is>
          <t>主表</t>
        </is>
      </c>
      <c r="E227" s="78" t="inlineStr">
        <is>
          <t>number_year</t>
        </is>
      </c>
      <c r="F227" s="78" t="inlineStr">
        <is>
          <t>编号年份</t>
        </is>
      </c>
      <c r="G227" s="78" t="inlineStr">
        <is>
          <t>整数</t>
        </is>
      </c>
      <c r="H227" s="78" t="inlineStr">
        <is>
          <t>是</t>
        </is>
      </c>
      <c r="I227" s="78" t="inlineStr"/>
    </row>
    <row r="228" ht="22" customHeight="1">
      <c r="A228" s="78" t="n">
        <v>227</v>
      </c>
      <c r="B228" s="78" t="inlineStr">
        <is>
          <t>编号</t>
        </is>
      </c>
      <c r="C228" s="78" t="inlineStr">
        <is>
          <t>发票编号</t>
        </is>
      </c>
      <c r="D228" s="78" t="inlineStr">
        <is>
          <t>主表</t>
        </is>
      </c>
      <c r="E228" s="78" t="inlineStr">
        <is>
          <t>num_pool</t>
        </is>
      </c>
      <c r="F228" s="78" t="inlineStr">
        <is>
          <t>编号池</t>
        </is>
      </c>
      <c r="G228" s="78" t="inlineStr">
        <is>
          <t>文本</t>
        </is>
      </c>
      <c r="H228" s="78" t="inlineStr">
        <is>
          <t>否</t>
        </is>
      </c>
      <c r="I228" s="78" t="inlineStr">
        <is>
          <t>服务端记录</t>
        </is>
      </c>
    </row>
    <row r="229" ht="22" customHeight="1">
      <c r="A229" s="78" t="n">
        <v>228</v>
      </c>
      <c r="B229" s="78" t="inlineStr">
        <is>
          <t>编号</t>
        </is>
      </c>
      <c r="C229" s="78" t="inlineStr">
        <is>
          <t>发票编号</t>
        </is>
      </c>
      <c r="D229" s="78" t="inlineStr">
        <is>
          <t>主表</t>
        </is>
      </c>
      <c r="E229" s="78" t="inlineStr">
        <is>
          <t>num_seq</t>
        </is>
      </c>
      <c r="F229" s="78" t="inlineStr">
        <is>
          <t>顺序号</t>
        </is>
      </c>
      <c r="G229" s="78" t="inlineStr">
        <is>
          <t>整数</t>
        </is>
      </c>
      <c r="H229" s="78" t="inlineStr">
        <is>
          <t>否</t>
        </is>
      </c>
      <c r="I229" s="78" t="inlineStr">
        <is>
          <t>服务端记录；改名后继续递增</t>
        </is>
      </c>
    </row>
    <row r="230" ht="22" customHeight="1">
      <c r="A230" s="78" t="n">
        <v>229</v>
      </c>
      <c r="B230" s="78" t="inlineStr">
        <is>
          <t>编号</t>
        </is>
      </c>
      <c r="C230" s="78" t="inlineStr">
        <is>
          <t>发票编号</t>
        </is>
      </c>
      <c r="D230" s="78" t="inlineStr">
        <is>
          <t>主表</t>
        </is>
      </c>
      <c r="E230" s="78" t="inlineStr">
        <is>
          <t>contract_no</t>
        </is>
      </c>
      <c r="F230" s="78" t="inlineStr">
        <is>
          <t>关联合同</t>
        </is>
      </c>
      <c r="G230" s="78" t="inlineStr">
        <is>
          <t>文本</t>
        </is>
      </c>
      <c r="H230" s="78" t="inlineStr">
        <is>
          <t>否</t>
        </is>
      </c>
      <c r="I230" s="78" t="inlineStr"/>
    </row>
    <row r="231" ht="22" customHeight="1">
      <c r="A231" s="78" t="n">
        <v>230</v>
      </c>
      <c r="B231" s="78" t="inlineStr">
        <is>
          <t>编号</t>
        </is>
      </c>
      <c r="C231" s="78" t="inlineStr">
        <is>
          <t>发票编号</t>
        </is>
      </c>
      <c r="D231" s="78" t="inlineStr">
        <is>
          <t>主表</t>
        </is>
      </c>
      <c r="E231" s="78" t="inlineStr">
        <is>
          <t>number_contract_id</t>
        </is>
      </c>
      <c r="F231" s="78" t="inlineStr">
        <is>
          <t>关联合同编号ID</t>
        </is>
      </c>
      <c r="G231" s="78" t="inlineStr">
        <is>
          <t>整数</t>
        </is>
      </c>
      <c r="H231" s="78" t="inlineStr">
        <is>
          <t>否</t>
        </is>
      </c>
      <c r="I231" s="78" t="inlineStr"/>
    </row>
    <row r="232" ht="22" customHeight="1">
      <c r="A232" s="78" t="n">
        <v>231</v>
      </c>
      <c r="B232" s="78" t="inlineStr">
        <is>
          <t>编号</t>
        </is>
      </c>
      <c r="C232" s="78" t="inlineStr">
        <is>
          <t>发票编号</t>
        </is>
      </c>
      <c r="D232" s="78" t="inlineStr">
        <is>
          <t>主表</t>
        </is>
      </c>
      <c r="E232" s="78" t="inlineStr">
        <is>
          <t>content</t>
        </is>
      </c>
      <c r="F232" s="78" t="inlineStr">
        <is>
          <t>所含内容</t>
        </is>
      </c>
      <c r="G232" s="78" t="inlineStr">
        <is>
          <t>文本</t>
        </is>
      </c>
      <c r="H232" s="78" t="inlineStr">
        <is>
          <t>是</t>
        </is>
      </c>
      <c r="I232" s="78" t="inlineStr"/>
    </row>
    <row r="233" ht="22" customHeight="1">
      <c r="A233" s="78" t="n">
        <v>232</v>
      </c>
      <c r="B233" s="78" t="inlineStr">
        <is>
          <t>编号</t>
        </is>
      </c>
      <c r="C233" s="78" t="inlineStr">
        <is>
          <t>发票编号</t>
        </is>
      </c>
      <c r="D233" s="78" t="inlineStr">
        <is>
          <t>主表</t>
        </is>
      </c>
      <c r="E233" s="78" t="inlineStr">
        <is>
          <t>bl_date</t>
        </is>
      </c>
      <c r="F233" s="78" t="inlineStr">
        <is>
          <t>提单日期</t>
        </is>
      </c>
      <c r="G233" s="78" t="inlineStr">
        <is>
          <t>日期</t>
        </is>
      </c>
      <c r="H233" s="78" t="inlineStr">
        <is>
          <t>否</t>
        </is>
      </c>
      <c r="I233" s="78" t="inlineStr"/>
    </row>
    <row r="234" ht="22" customHeight="1">
      <c r="A234" s="78" t="n">
        <v>233</v>
      </c>
      <c r="B234" s="78" t="inlineStr">
        <is>
          <t>编号</t>
        </is>
      </c>
      <c r="C234" s="78" t="inlineStr">
        <is>
          <t>发票编号</t>
        </is>
      </c>
      <c r="D234" s="78" t="inlineStr">
        <is>
          <t>主表</t>
        </is>
      </c>
      <c r="E234" s="78" t="inlineStr">
        <is>
          <t>price_term</t>
        </is>
      </c>
      <c r="F234" s="78" t="inlineStr">
        <is>
          <t>价格条款</t>
        </is>
      </c>
      <c r="G234" s="78" t="inlineStr">
        <is>
          <t>文本</t>
        </is>
      </c>
      <c r="H234" s="78" t="inlineStr">
        <is>
          <t>否</t>
        </is>
      </c>
      <c r="I234" s="78" t="inlineStr">
        <is>
          <t>FOB / CIF</t>
        </is>
      </c>
    </row>
    <row r="235" ht="22" customHeight="1">
      <c r="A235" s="78" t="n">
        <v>234</v>
      </c>
      <c r="B235" s="78" t="inlineStr">
        <is>
          <t>编号</t>
        </is>
      </c>
      <c r="C235" s="78" t="inlineStr">
        <is>
          <t>发票编号</t>
        </is>
      </c>
      <c r="D235" s="78" t="inlineStr">
        <is>
          <t>主表</t>
        </is>
      </c>
      <c r="E235" s="78" t="inlineStr">
        <is>
          <t>currency</t>
        </is>
      </c>
      <c r="F235" s="78" t="inlineStr">
        <is>
          <t>结算币种</t>
        </is>
      </c>
      <c r="G235" s="78" t="inlineStr">
        <is>
          <t>文本</t>
        </is>
      </c>
      <c r="H235" s="78" t="inlineStr">
        <is>
          <t>否</t>
        </is>
      </c>
      <c r="I235" s="78" t="inlineStr">
        <is>
          <t>USD / CNY</t>
        </is>
      </c>
    </row>
    <row r="236" ht="22" customHeight="1">
      <c r="A236" s="78" t="n">
        <v>235</v>
      </c>
      <c r="B236" s="78" t="inlineStr">
        <is>
          <t>编号</t>
        </is>
      </c>
      <c r="C236" s="78" t="inlineStr">
        <is>
          <t>发票编号</t>
        </is>
      </c>
      <c r="D236" s="78" t="inlineStr">
        <is>
          <t>主表</t>
        </is>
      </c>
      <c r="E236" s="78" t="inlineStr">
        <is>
          <t>amount_usd</t>
        </is>
      </c>
      <c r="F236" s="78" t="inlineStr">
        <is>
          <t>美元金额</t>
        </is>
      </c>
      <c r="G236" s="78" t="inlineStr">
        <is>
          <t>文本</t>
        </is>
      </c>
      <c r="H236" s="78" t="inlineStr">
        <is>
          <t>否</t>
        </is>
      </c>
      <c r="I236" s="78" t="inlineStr"/>
    </row>
    <row r="237" ht="22" customHeight="1">
      <c r="A237" s="78" t="n">
        <v>236</v>
      </c>
      <c r="B237" s="78" t="inlineStr">
        <is>
          <t>编号</t>
        </is>
      </c>
      <c r="C237" s="78" t="inlineStr">
        <is>
          <t>发票编号</t>
        </is>
      </c>
      <c r="D237" s="78" t="inlineStr">
        <is>
          <t>主表</t>
        </is>
      </c>
      <c r="E237" s="78" t="inlineStr">
        <is>
          <t>amount_cny</t>
        </is>
      </c>
      <c r="F237" s="78" t="inlineStr">
        <is>
          <t>人民币金额</t>
        </is>
      </c>
      <c r="G237" s="78" t="inlineStr">
        <is>
          <t>文本</t>
        </is>
      </c>
      <c r="H237" s="78" t="inlineStr">
        <is>
          <t>否</t>
        </is>
      </c>
      <c r="I237" s="78" t="inlineStr"/>
    </row>
    <row r="238" ht="22" customHeight="1">
      <c r="A238" s="78" t="n">
        <v>237</v>
      </c>
      <c r="B238" s="78" t="inlineStr">
        <is>
          <t>编号</t>
        </is>
      </c>
      <c r="C238" s="78" t="inlineStr">
        <is>
          <t>发票编号</t>
        </is>
      </c>
      <c r="D238" s="78" t="inlineStr">
        <is>
          <t>主表</t>
        </is>
      </c>
      <c r="E238" s="78" t="inlineStr">
        <is>
          <t>exchange_rate</t>
        </is>
      </c>
      <c r="F238" s="78" t="inlineStr">
        <is>
          <t>汇率</t>
        </is>
      </c>
      <c r="G238" s="78" t="inlineStr">
        <is>
          <t>文本</t>
        </is>
      </c>
      <c r="H238" s="78" t="inlineStr">
        <is>
          <t>否</t>
        </is>
      </c>
      <c r="I238" s="78" t="inlineStr"/>
    </row>
    <row r="239" ht="22" customHeight="1">
      <c r="A239" s="78" t="n">
        <v>238</v>
      </c>
      <c r="B239" s="78" t="inlineStr">
        <is>
          <t>编号</t>
        </is>
      </c>
      <c r="C239" s="78" t="inlineStr">
        <is>
          <t>发票编号</t>
        </is>
      </c>
      <c r="D239" s="78" t="inlineStr">
        <is>
          <t>主表</t>
        </is>
      </c>
      <c r="E239" s="78" t="inlineStr">
        <is>
          <t>exchange_month</t>
        </is>
      </c>
      <c r="F239" s="78" t="inlineStr">
        <is>
          <t>汇率月份</t>
        </is>
      </c>
      <c r="G239" s="78" t="inlineStr">
        <is>
          <t>文本</t>
        </is>
      </c>
      <c r="H239" s="78" t="inlineStr">
        <is>
          <t>否</t>
        </is>
      </c>
      <c r="I239" s="78" t="inlineStr">
        <is>
          <t>YYYY-MM</t>
        </is>
      </c>
    </row>
    <row r="240" ht="22" customHeight="1">
      <c r="A240" s="78" t="n">
        <v>239</v>
      </c>
      <c r="B240" s="78" t="inlineStr">
        <is>
          <t>编号</t>
        </is>
      </c>
      <c r="C240" s="78" t="inlineStr">
        <is>
          <t>发票编号</t>
        </is>
      </c>
      <c r="D240" s="78" t="inlineStr">
        <is>
          <t>主表</t>
        </is>
      </c>
      <c r="E240" s="78" t="inlineStr">
        <is>
          <t>po_no</t>
        </is>
      </c>
      <c r="F240" s="78" t="inlineStr">
        <is>
          <t>PO号</t>
        </is>
      </c>
      <c r="G240" s="78" t="inlineStr">
        <is>
          <t>文本</t>
        </is>
      </c>
      <c r="H240" s="78" t="inlineStr">
        <is>
          <t>否</t>
        </is>
      </c>
      <c r="I240" s="78" t="inlineStr"/>
    </row>
    <row r="241" ht="22" customHeight="1">
      <c r="A241" s="78" t="n">
        <v>240</v>
      </c>
      <c r="B241" s="78" t="inlineStr">
        <is>
          <t>编号</t>
        </is>
      </c>
      <c r="C241" s="78" t="inlineStr">
        <is>
          <t>发票编号</t>
        </is>
      </c>
      <c r="D241" s="78" t="inlineStr">
        <is>
          <t>主表</t>
        </is>
      </c>
      <c r="E241" s="78" t="inlineStr">
        <is>
          <t>operator_name</t>
        </is>
      </c>
      <c r="F241" s="78" t="inlineStr">
        <is>
          <t>登记人</t>
        </is>
      </c>
      <c r="G241" s="78" t="inlineStr">
        <is>
          <t>文本</t>
        </is>
      </c>
      <c r="H241" s="78" t="inlineStr">
        <is>
          <t>否</t>
        </is>
      </c>
      <c r="I241" s="78" t="inlineStr">
        <is>
          <t>留空默认当前用户</t>
        </is>
      </c>
    </row>
    <row r="242" ht="22" customHeight="1">
      <c r="A242" s="78" t="n">
        <v>241</v>
      </c>
      <c r="B242" s="78" t="inlineStr">
        <is>
          <t>编号</t>
        </is>
      </c>
      <c r="C242" s="78" t="inlineStr">
        <is>
          <t>发票编号</t>
        </is>
      </c>
      <c r="D242" s="78" t="inlineStr">
        <is>
          <t>主表</t>
        </is>
      </c>
      <c r="E242" s="78" t="inlineStr">
        <is>
          <t>transport_type</t>
        </is>
      </c>
      <c r="F242" s="78" t="inlineStr">
        <is>
          <t>运输方式</t>
        </is>
      </c>
      <c r="G242" s="78" t="inlineStr">
        <is>
          <t>文本</t>
        </is>
      </c>
      <c r="H242" s="78" t="inlineStr">
        <is>
          <t>否</t>
        </is>
      </c>
      <c r="I242" s="78" t="inlineStr">
        <is>
          <t>海运 / 空运</t>
        </is>
      </c>
    </row>
    <row r="243" ht="22" customHeight="1">
      <c r="A243" s="78" t="n">
        <v>242</v>
      </c>
      <c r="B243" s="78" t="inlineStr">
        <is>
          <t>编号</t>
        </is>
      </c>
      <c r="C243" s="78" t="inlineStr">
        <is>
          <t>发票编号</t>
        </is>
      </c>
      <c r="D243" s="78" t="inlineStr">
        <is>
          <t>主表</t>
        </is>
      </c>
      <c r="E243" s="78" t="inlineStr">
        <is>
          <t>email_sent_date</t>
        </is>
      </c>
      <c r="F243" s="78" t="inlineStr">
        <is>
          <t>发邮件时间</t>
        </is>
      </c>
      <c r="G243" s="78" t="inlineStr">
        <is>
          <t>日期</t>
        </is>
      </c>
      <c r="H243" s="78" t="inlineStr">
        <is>
          <t>否</t>
        </is>
      </c>
      <c r="I243" s="78" t="inlineStr"/>
    </row>
    <row r="244" ht="22" customHeight="1">
      <c r="A244" s="78" t="n">
        <v>243</v>
      </c>
      <c r="B244" s="78" t="inlineStr">
        <is>
          <t>编号</t>
        </is>
      </c>
      <c r="C244" s="78" t="inlineStr">
        <is>
          <t>发票编号</t>
        </is>
      </c>
      <c r="D244" s="78" t="inlineStr">
        <is>
          <t>主表</t>
        </is>
      </c>
      <c r="E244" s="78" t="inlineStr">
        <is>
          <t>bl_no</t>
        </is>
      </c>
      <c r="F244" s="78" t="inlineStr">
        <is>
          <t>提单号</t>
        </is>
      </c>
      <c r="G244" s="78" t="inlineStr">
        <is>
          <t>文本</t>
        </is>
      </c>
      <c r="H244" s="78" t="inlineStr">
        <is>
          <t>否</t>
        </is>
      </c>
      <c r="I244" s="78" t="inlineStr"/>
    </row>
    <row r="245" ht="22" customHeight="1">
      <c r="A245" s="78" t="n">
        <v>244</v>
      </c>
      <c r="B245" s="78" t="inlineStr">
        <is>
          <t>编号</t>
        </is>
      </c>
      <c r="C245" s="78" t="inlineStr">
        <is>
          <t>发票编号</t>
        </is>
      </c>
      <c r="D245" s="78" t="inlineStr">
        <is>
          <t>主表</t>
        </is>
      </c>
      <c r="E245" s="78" t="inlineStr">
        <is>
          <t>is_batch</t>
        </is>
      </c>
      <c r="F245" s="78" t="inlineStr">
        <is>
          <t>批次</t>
        </is>
      </c>
      <c r="G245" s="78" t="inlineStr">
        <is>
          <t>是否</t>
        </is>
      </c>
      <c r="H245" s="78" t="inlineStr">
        <is>
          <t>否</t>
        </is>
      </c>
      <c r="I245" s="78" t="inlineStr">
        <is>
          <t>是否批次</t>
        </is>
      </c>
    </row>
    <row r="246" ht="22" customHeight="1">
      <c r="A246" s="78" t="n">
        <v>245</v>
      </c>
      <c r="B246" s="78" t="inlineStr">
        <is>
          <t>编号</t>
        </is>
      </c>
      <c r="C246" s="78" t="inlineStr">
        <is>
          <t>发票编号</t>
        </is>
      </c>
      <c r="D246" s="78" t="inlineStr">
        <is>
          <t>主表</t>
        </is>
      </c>
      <c r="E246" s="78" t="inlineStr">
        <is>
          <t>is_batch_master</t>
        </is>
      </c>
      <c r="F246" s="78" t="inlineStr">
        <is>
          <t>批次主发票</t>
        </is>
      </c>
      <c r="G246" s="78" t="inlineStr">
        <is>
          <t>是否</t>
        </is>
      </c>
      <c r="H246" s="78" t="inlineStr">
        <is>
          <t>否</t>
        </is>
      </c>
      <c r="I246" s="78" t="inlineStr">
        <is>
          <t>主发票金额由小批汇总</t>
        </is>
      </c>
    </row>
    <row r="247" ht="22" customHeight="1">
      <c r="A247" s="78" t="n">
        <v>246</v>
      </c>
      <c r="B247" s="78" t="inlineStr">
        <is>
          <t>编号</t>
        </is>
      </c>
      <c r="C247" s="78" t="inlineStr">
        <is>
          <t>发票编号</t>
        </is>
      </c>
      <c r="D247" s="78" t="inlineStr">
        <is>
          <t>主表</t>
        </is>
      </c>
      <c r="E247" s="78" t="inlineStr">
        <is>
          <t>batch_prefix</t>
        </is>
      </c>
      <c r="F247" s="78" t="inlineStr">
        <is>
          <t>批次前缀</t>
        </is>
      </c>
      <c r="G247" s="78" t="inlineStr">
        <is>
          <t>文本</t>
        </is>
      </c>
      <c r="H247" s="78" t="inlineStr">
        <is>
          <t>否</t>
        </is>
      </c>
      <c r="I247" s="78" t="inlineStr"/>
    </row>
    <row r="248" ht="22" customHeight="1">
      <c r="A248" s="78" t="n">
        <v>247</v>
      </c>
      <c r="B248" s="78" t="inlineStr">
        <is>
          <t>编号</t>
        </is>
      </c>
      <c r="C248" s="78" t="inlineStr">
        <is>
          <t>发票编号</t>
        </is>
      </c>
      <c r="D248" s="78" t="inlineStr">
        <is>
          <t>主表</t>
        </is>
      </c>
      <c r="E248" s="78" t="inlineStr">
        <is>
          <t>batch_sub_no</t>
        </is>
      </c>
      <c r="F248" s="78" t="inlineStr">
        <is>
          <t>分单号</t>
        </is>
      </c>
      <c r="G248" s="78" t="inlineStr">
        <is>
          <t>文本</t>
        </is>
      </c>
      <c r="H248" s="78" t="inlineStr">
        <is>
          <t>否</t>
        </is>
      </c>
      <c r="I248" s="78" t="inlineStr"/>
    </row>
    <row r="249" ht="22" customHeight="1">
      <c r="A249" s="78" t="n">
        <v>248</v>
      </c>
      <c r="B249" s="78" t="inlineStr">
        <is>
          <t>编号</t>
        </is>
      </c>
      <c r="C249" s="78" t="inlineStr">
        <is>
          <t>发票编号</t>
        </is>
      </c>
      <c r="D249" s="78" t="inlineStr">
        <is>
          <t>主表</t>
        </is>
      </c>
      <c r="E249" s="78" t="inlineStr">
        <is>
          <t>manual_edited</t>
        </is>
      </c>
      <c r="F249" s="78" t="inlineStr">
        <is>
          <t>手工改号</t>
        </is>
      </c>
      <c r="G249" s="78" t="inlineStr">
        <is>
          <t>是否</t>
        </is>
      </c>
      <c r="H249" s="78" t="inlineStr">
        <is>
          <t>否</t>
        </is>
      </c>
      <c r="I249" s="78" t="inlineStr">
        <is>
          <t>只读</t>
        </is>
      </c>
    </row>
    <row r="250" ht="22" customHeight="1">
      <c r="A250" s="78" t="n">
        <v>249</v>
      </c>
      <c r="B250" s="78" t="inlineStr">
        <is>
          <t>编号</t>
        </is>
      </c>
      <c r="C250" s="78" t="inlineStr">
        <is>
          <t>发票编号</t>
        </is>
      </c>
      <c r="D250" s="78" t="inlineStr">
        <is>
          <t>主表</t>
        </is>
      </c>
      <c r="E250" s="78" t="inlineStr">
        <is>
          <t>remark</t>
        </is>
      </c>
      <c r="F250" s="78" t="inlineStr">
        <is>
          <t>备注</t>
        </is>
      </c>
      <c r="G250" s="78" t="inlineStr">
        <is>
          <t>文本</t>
        </is>
      </c>
      <c r="H250" s="78" t="inlineStr">
        <is>
          <t>否</t>
        </is>
      </c>
      <c r="I250" s="78" t="inlineStr"/>
    </row>
    <row r="251" ht="22" customHeight="1">
      <c r="A251" s="78" t="n">
        <v>250</v>
      </c>
      <c r="B251" s="78" t="inlineStr">
        <is>
          <t>基础资料</t>
        </is>
      </c>
      <c r="C251" s="78" t="inlineStr">
        <is>
          <t>公司</t>
        </is>
      </c>
      <c r="D251" s="78" t="inlineStr">
        <is>
          <t>主表</t>
        </is>
      </c>
      <c r="E251" s="78" t="inlineStr">
        <is>
          <t>code</t>
        </is>
      </c>
      <c r="F251" s="78" t="inlineStr">
        <is>
          <t>公司编码</t>
        </is>
      </c>
      <c r="G251" s="78" t="inlineStr">
        <is>
          <t>文本</t>
        </is>
      </c>
      <c r="H251" s="78" t="inlineStr">
        <is>
          <t>否</t>
        </is>
      </c>
      <c r="I251" s="78" t="inlineStr"/>
    </row>
    <row r="252" ht="22" customHeight="1">
      <c r="A252" s="78" t="n">
        <v>251</v>
      </c>
      <c r="B252" s="78" t="inlineStr">
        <is>
          <t>基础资料</t>
        </is>
      </c>
      <c r="C252" s="78" t="inlineStr">
        <is>
          <t>公司</t>
        </is>
      </c>
      <c r="D252" s="78" t="inlineStr">
        <is>
          <t>主表</t>
        </is>
      </c>
      <c r="E252" s="78" t="inlineStr">
        <is>
          <t>name</t>
        </is>
      </c>
      <c r="F252" s="78" t="inlineStr">
        <is>
          <t>公司名称</t>
        </is>
      </c>
      <c r="G252" s="78" t="inlineStr">
        <is>
          <t>文本</t>
        </is>
      </c>
      <c r="H252" s="78" t="inlineStr">
        <is>
          <t>是</t>
        </is>
      </c>
      <c r="I252" s="78" t="inlineStr"/>
    </row>
    <row r="253" ht="22" customHeight="1">
      <c r="A253" s="78" t="n">
        <v>252</v>
      </c>
      <c r="B253" s="78" t="inlineStr">
        <is>
          <t>基础资料</t>
        </is>
      </c>
      <c r="C253" s="78" t="inlineStr">
        <is>
          <t>公司</t>
        </is>
      </c>
      <c r="D253" s="78" t="inlineStr">
        <is>
          <t>主表</t>
        </is>
      </c>
      <c r="E253" s="78" t="inlineStr">
        <is>
          <t>short_name</t>
        </is>
      </c>
      <c r="F253" s="78" t="inlineStr">
        <is>
          <t>简称</t>
        </is>
      </c>
      <c r="G253" s="78" t="inlineStr">
        <is>
          <t>文本</t>
        </is>
      </c>
      <c r="H253" s="78" t="inlineStr">
        <is>
          <t>否</t>
        </is>
      </c>
      <c r="I253" s="78" t="inlineStr">
        <is>
          <t>顶栏显示</t>
        </is>
      </c>
    </row>
    <row r="254" ht="22" customHeight="1">
      <c r="A254" s="78" t="n">
        <v>253</v>
      </c>
      <c r="B254" s="78" t="inlineStr">
        <is>
          <t>基础资料</t>
        </is>
      </c>
      <c r="C254" s="78" t="inlineStr">
        <is>
          <t>公司</t>
        </is>
      </c>
      <c r="D254" s="78" t="inlineStr">
        <is>
          <t>主表</t>
        </is>
      </c>
      <c r="E254" s="78" t="inlineStr">
        <is>
          <t>status</t>
        </is>
      </c>
      <c r="F254" s="78" t="inlineStr">
        <is>
          <t>状态</t>
        </is>
      </c>
      <c r="G254" s="78" t="inlineStr">
        <is>
          <t>文本</t>
        </is>
      </c>
      <c r="H254" s="78" t="inlineStr">
        <is>
          <t>否</t>
        </is>
      </c>
      <c r="I254" s="78" t="inlineStr">
        <is>
          <t>启用 / 停用</t>
        </is>
      </c>
    </row>
    <row r="255" ht="22" customHeight="1">
      <c r="A255" s="78" t="n">
        <v>254</v>
      </c>
      <c r="B255" s="78" t="inlineStr">
        <is>
          <t>基础资料</t>
        </is>
      </c>
      <c r="C255" s="78" t="inlineStr">
        <is>
          <t>公司</t>
        </is>
      </c>
      <c r="D255" s="78" t="inlineStr">
        <is>
          <t>主表</t>
        </is>
      </c>
      <c r="E255" s="78" t="inlineStr">
        <is>
          <t>default_tax_rate</t>
        </is>
      </c>
      <c r="F255" s="78" t="inlineStr">
        <is>
          <t>默认税率</t>
        </is>
      </c>
      <c r="G255" s="78" t="inlineStr">
        <is>
          <t>文本</t>
        </is>
      </c>
      <c r="H255" s="78" t="inlineStr">
        <is>
          <t>否</t>
        </is>
      </c>
      <c r="I255" s="78" t="inlineStr"/>
    </row>
    <row r="256" ht="22" customHeight="1">
      <c r="A256" s="78" t="n">
        <v>255</v>
      </c>
      <c r="B256" s="78" t="inlineStr">
        <is>
          <t>基础资料</t>
        </is>
      </c>
      <c r="C256" s="78" t="inlineStr">
        <is>
          <t>公司</t>
        </is>
      </c>
      <c r="D256" s="78" t="inlineStr">
        <is>
          <t>主表</t>
        </is>
      </c>
      <c r="E256" s="78" t="inlineStr">
        <is>
          <t>salesman_id</t>
        </is>
      </c>
      <c r="F256" s="78" t="inlineStr">
        <is>
          <t>业务员</t>
        </is>
      </c>
      <c r="G256" s="78" t="inlineStr">
        <is>
          <t>文本</t>
        </is>
      </c>
      <c r="H256" s="78" t="inlineStr">
        <is>
          <t>否</t>
        </is>
      </c>
      <c r="I256" s="78" t="inlineStr"/>
    </row>
    <row r="257" ht="22" customHeight="1">
      <c r="A257" s="78" t="n">
        <v>256</v>
      </c>
      <c r="B257" s="78" t="inlineStr">
        <is>
          <t>基础资料</t>
        </is>
      </c>
      <c r="C257" s="78" t="inlineStr">
        <is>
          <t>公司</t>
        </is>
      </c>
      <c r="D257" s="78" t="inlineStr">
        <is>
          <t>主表</t>
        </is>
      </c>
      <c r="E257" s="78" t="inlineStr">
        <is>
          <t>tax_no</t>
        </is>
      </c>
      <c r="F257" s="78" t="inlineStr">
        <is>
          <t>纳税人识别号</t>
        </is>
      </c>
      <c r="G257" s="78" t="inlineStr">
        <is>
          <t>文本</t>
        </is>
      </c>
      <c r="H257" s="78" t="inlineStr">
        <is>
          <t>否</t>
        </is>
      </c>
      <c r="I257" s="78" t="inlineStr"/>
    </row>
    <row r="258" ht="22" customHeight="1">
      <c r="A258" s="78" t="n">
        <v>257</v>
      </c>
      <c r="B258" s="78" t="inlineStr">
        <is>
          <t>基础资料</t>
        </is>
      </c>
      <c r="C258" s="78" t="inlineStr">
        <is>
          <t>公司</t>
        </is>
      </c>
      <c r="D258" s="78" t="inlineStr">
        <is>
          <t>主表</t>
        </is>
      </c>
      <c r="E258" s="78" t="inlineStr">
        <is>
          <t>invoice_title</t>
        </is>
      </c>
      <c r="F258" s="78" t="inlineStr">
        <is>
          <t>开票名称</t>
        </is>
      </c>
      <c r="G258" s="78" t="inlineStr">
        <is>
          <t>文本</t>
        </is>
      </c>
      <c r="H258" s="78" t="inlineStr">
        <is>
          <t>否</t>
        </is>
      </c>
      <c r="I258" s="78" t="inlineStr"/>
    </row>
    <row r="259" ht="22" customHeight="1">
      <c r="A259" s="78" t="n">
        <v>258</v>
      </c>
      <c r="B259" s="78" t="inlineStr">
        <is>
          <t>基础资料</t>
        </is>
      </c>
      <c r="C259" s="78" t="inlineStr">
        <is>
          <t>公司</t>
        </is>
      </c>
      <c r="D259" s="78" t="inlineStr">
        <is>
          <t>主表</t>
        </is>
      </c>
      <c r="E259" s="78" t="inlineStr">
        <is>
          <t>address</t>
        </is>
      </c>
      <c r="F259" s="78" t="inlineStr">
        <is>
          <t>通讯地址</t>
        </is>
      </c>
      <c r="G259" s="78" t="inlineStr">
        <is>
          <t>文本</t>
        </is>
      </c>
      <c r="H259" s="78" t="inlineStr">
        <is>
          <t>否</t>
        </is>
      </c>
      <c r="I259" s="78" t="inlineStr"/>
    </row>
    <row r="260" ht="22" customHeight="1">
      <c r="A260" s="78" t="n">
        <v>259</v>
      </c>
      <c r="B260" s="78" t="inlineStr">
        <is>
          <t>基础资料</t>
        </is>
      </c>
      <c r="C260" s="78" t="inlineStr">
        <is>
          <t>公司</t>
        </is>
      </c>
      <c r="D260" s="78" t="inlineStr">
        <is>
          <t>主表</t>
        </is>
      </c>
      <c r="E260" s="78" t="inlineStr">
        <is>
          <t>email</t>
        </is>
      </c>
      <c r="F260" s="78" t="inlineStr">
        <is>
          <t>邮箱</t>
        </is>
      </c>
      <c r="G260" s="78" t="inlineStr">
        <is>
          <t>文本</t>
        </is>
      </c>
      <c r="H260" s="78" t="inlineStr">
        <is>
          <t>否</t>
        </is>
      </c>
      <c r="I260" s="78" t="inlineStr"/>
    </row>
    <row r="261" ht="22" customHeight="1">
      <c r="A261" s="78" t="n">
        <v>260</v>
      </c>
      <c r="B261" s="78" t="inlineStr">
        <is>
          <t>基础资料</t>
        </is>
      </c>
      <c r="C261" s="78" t="inlineStr">
        <is>
          <t>公司</t>
        </is>
      </c>
      <c r="D261" s="78" t="inlineStr">
        <is>
          <t>主表</t>
        </is>
      </c>
      <c r="E261" s="78" t="inlineStr">
        <is>
          <t>mobile</t>
        </is>
      </c>
      <c r="F261" s="78" t="inlineStr">
        <is>
          <t>手机</t>
        </is>
      </c>
      <c r="G261" s="78" t="inlineStr">
        <is>
          <t>文本</t>
        </is>
      </c>
      <c r="H261" s="78" t="inlineStr">
        <is>
          <t>否</t>
        </is>
      </c>
      <c r="I261" s="78" t="inlineStr"/>
    </row>
    <row r="262" ht="22" customHeight="1">
      <c r="A262" s="78" t="n">
        <v>261</v>
      </c>
      <c r="B262" s="78" t="inlineStr">
        <is>
          <t>基础资料</t>
        </is>
      </c>
      <c r="C262" s="78" t="inlineStr">
        <is>
          <t>公司</t>
        </is>
      </c>
      <c r="D262" s="78" t="inlineStr">
        <is>
          <t>主表</t>
        </is>
      </c>
      <c r="E262" s="78" t="inlineStr">
        <is>
          <t>bank_name</t>
        </is>
      </c>
      <c r="F262" s="78" t="inlineStr">
        <is>
          <t>开户银行</t>
        </is>
      </c>
      <c r="G262" s="78" t="inlineStr">
        <is>
          <t>文本</t>
        </is>
      </c>
      <c r="H262" s="78" t="inlineStr">
        <is>
          <t>否</t>
        </is>
      </c>
      <c r="I262" s="78" t="inlineStr"/>
    </row>
    <row r="263" ht="22" customHeight="1">
      <c r="A263" s="78" t="n">
        <v>262</v>
      </c>
      <c r="B263" s="78" t="inlineStr">
        <is>
          <t>基础资料</t>
        </is>
      </c>
      <c r="C263" s="78" t="inlineStr">
        <is>
          <t>公司</t>
        </is>
      </c>
      <c r="D263" s="78" t="inlineStr">
        <is>
          <t>主表</t>
        </is>
      </c>
      <c r="E263" s="78" t="inlineStr">
        <is>
          <t>account_name</t>
        </is>
      </c>
      <c r="F263" s="78" t="inlineStr">
        <is>
          <t>账户名称</t>
        </is>
      </c>
      <c r="G263" s="78" t="inlineStr">
        <is>
          <t>文本</t>
        </is>
      </c>
      <c r="H263" s="78" t="inlineStr">
        <is>
          <t>否</t>
        </is>
      </c>
      <c r="I263" s="78" t="inlineStr"/>
    </row>
    <row r="264" ht="22" customHeight="1">
      <c r="A264" s="78" t="n">
        <v>263</v>
      </c>
      <c r="B264" s="78" t="inlineStr">
        <is>
          <t>基础资料</t>
        </is>
      </c>
      <c r="C264" s="78" t="inlineStr">
        <is>
          <t>公司</t>
        </is>
      </c>
      <c r="D264" s="78" t="inlineStr">
        <is>
          <t>主表</t>
        </is>
      </c>
      <c r="E264" s="78" t="inlineStr">
        <is>
          <t>bank_account</t>
        </is>
      </c>
      <c r="F264" s="78" t="inlineStr">
        <is>
          <t>银行账号</t>
        </is>
      </c>
      <c r="G264" s="78" t="inlineStr">
        <is>
          <t>文本</t>
        </is>
      </c>
      <c r="H264" s="78" t="inlineStr">
        <is>
          <t>否</t>
        </is>
      </c>
      <c r="I264" s="78" t="inlineStr"/>
    </row>
    <row r="265" ht="22" customHeight="1">
      <c r="A265" s="78" t="n">
        <v>264</v>
      </c>
      <c r="B265" s="78" t="inlineStr">
        <is>
          <t>基础资料</t>
        </is>
      </c>
      <c r="C265" s="78" t="inlineStr">
        <is>
          <t>公司</t>
        </is>
      </c>
      <c r="D265" s="78" t="inlineStr">
        <is>
          <t>主表</t>
        </is>
      </c>
      <c r="E265" s="78" t="inlineStr">
        <is>
          <t>bank_branch</t>
        </is>
      </c>
      <c r="F265" s="78" t="inlineStr">
        <is>
          <t>开户支行</t>
        </is>
      </c>
      <c r="G265" s="78" t="inlineStr">
        <is>
          <t>文本</t>
        </is>
      </c>
      <c r="H265" s="78" t="inlineStr">
        <is>
          <t>否</t>
        </is>
      </c>
      <c r="I265" s="78" t="inlineStr"/>
    </row>
    <row r="266" ht="22" customHeight="1">
      <c r="A266" s="78" t="n">
        <v>265</v>
      </c>
      <c r="B266" s="78" t="inlineStr">
        <is>
          <t>基础资料</t>
        </is>
      </c>
      <c r="C266" s="78" t="inlineStr">
        <is>
          <t>公司</t>
        </is>
      </c>
      <c r="D266" s="78" t="inlineStr">
        <is>
          <t>主表</t>
        </is>
      </c>
      <c r="E266" s="78" t="inlineStr">
        <is>
          <t>invoice_phone</t>
        </is>
      </c>
      <c r="F266" s="78" t="inlineStr">
        <is>
          <t>开票电话</t>
        </is>
      </c>
      <c r="G266" s="78" t="inlineStr">
        <is>
          <t>文本</t>
        </is>
      </c>
      <c r="H266" s="78" t="inlineStr">
        <is>
          <t>否</t>
        </is>
      </c>
      <c r="I266" s="78" t="inlineStr"/>
    </row>
    <row r="267" ht="22" customHeight="1">
      <c r="A267" s="78" t="n">
        <v>266</v>
      </c>
      <c r="B267" s="78" t="inlineStr">
        <is>
          <t>基础资料</t>
        </is>
      </c>
      <c r="C267" s="78" t="inlineStr">
        <is>
          <t>公司</t>
        </is>
      </c>
      <c r="D267" s="78" t="inlineStr">
        <is>
          <t>主表</t>
        </is>
      </c>
      <c r="E267" s="78" t="inlineStr">
        <is>
          <t>invoice_address</t>
        </is>
      </c>
      <c r="F267" s="78" t="inlineStr">
        <is>
          <t>开票地址</t>
        </is>
      </c>
      <c r="G267" s="78" t="inlineStr">
        <is>
          <t>文本</t>
        </is>
      </c>
      <c r="H267" s="78" t="inlineStr">
        <is>
          <t>否</t>
        </is>
      </c>
      <c r="I267" s="78" t="inlineStr"/>
    </row>
    <row r="268" ht="22" customHeight="1">
      <c r="A268" s="78" t="n">
        <v>267</v>
      </c>
      <c r="B268" s="78" t="inlineStr">
        <is>
          <t>基础资料</t>
        </is>
      </c>
      <c r="C268" s="78" t="inlineStr">
        <is>
          <t>公司</t>
        </is>
      </c>
      <c r="D268" s="78" t="inlineStr">
        <is>
          <t>主表</t>
        </is>
      </c>
      <c r="E268" s="78" t="inlineStr">
        <is>
          <t>legal_name</t>
        </is>
      </c>
      <c r="F268" s="78" t="inlineStr">
        <is>
          <t>法人代表</t>
        </is>
      </c>
      <c r="G268" s="78" t="inlineStr">
        <is>
          <t>文本</t>
        </is>
      </c>
      <c r="H268" s="78" t="inlineStr">
        <is>
          <t>否</t>
        </is>
      </c>
      <c r="I268" s="78" t="inlineStr"/>
    </row>
    <row r="269" ht="22" customHeight="1">
      <c r="A269" s="78" t="n">
        <v>268</v>
      </c>
      <c r="B269" s="78" t="inlineStr">
        <is>
          <t>基础资料</t>
        </is>
      </c>
      <c r="C269" s="78" t="inlineStr">
        <is>
          <t>公司</t>
        </is>
      </c>
      <c r="D269" s="78" t="inlineStr">
        <is>
          <t>主表</t>
        </is>
      </c>
      <c r="E269" s="78" t="inlineStr">
        <is>
          <t>agent_name</t>
        </is>
      </c>
      <c r="F269" s="78" t="inlineStr">
        <is>
          <t>委托代理人</t>
        </is>
      </c>
      <c r="G269" s="78" t="inlineStr">
        <is>
          <t>文本</t>
        </is>
      </c>
      <c r="H269" s="78" t="inlineStr">
        <is>
          <t>否</t>
        </is>
      </c>
      <c r="I269" s="78" t="inlineStr"/>
    </row>
    <row r="270" ht="22" customHeight="1">
      <c r="A270" s="78" t="n">
        <v>269</v>
      </c>
      <c r="B270" s="78" t="inlineStr">
        <is>
          <t>基础资料</t>
        </is>
      </c>
      <c r="C270" s="78" t="inlineStr">
        <is>
          <t>公司</t>
        </is>
      </c>
      <c r="D270" s="78" t="inlineStr">
        <is>
          <t>主表</t>
        </is>
      </c>
      <c r="E270" s="78" t="inlineStr">
        <is>
          <t>remark</t>
        </is>
      </c>
      <c r="F270" s="78" t="inlineStr">
        <is>
          <t>备注</t>
        </is>
      </c>
      <c r="G270" s="78" t="inlineStr">
        <is>
          <t>文本</t>
        </is>
      </c>
      <c r="H270" s="78" t="inlineStr">
        <is>
          <t>否</t>
        </is>
      </c>
      <c r="I270" s="78" t="inlineStr"/>
    </row>
    <row r="271" ht="22" customHeight="1">
      <c r="A271" s="78" t="n">
        <v>270</v>
      </c>
      <c r="B271" s="78" t="inlineStr">
        <is>
          <t>基础资料</t>
        </is>
      </c>
      <c r="C271" s="78" t="inlineStr">
        <is>
          <t>仓库</t>
        </is>
      </c>
      <c r="D271" s="78" t="inlineStr">
        <is>
          <t>主表</t>
        </is>
      </c>
      <c r="E271" s="78" t="inlineStr">
        <is>
          <t>code</t>
        </is>
      </c>
      <c r="F271" s="78" t="inlineStr">
        <is>
          <t>编码</t>
        </is>
      </c>
      <c r="G271" s="78" t="inlineStr">
        <is>
          <t>文本</t>
        </is>
      </c>
      <c r="H271" s="78" t="inlineStr">
        <is>
          <t>是</t>
        </is>
      </c>
      <c r="I271" s="78" t="inlineStr">
        <is>
          <t>公司内唯一</t>
        </is>
      </c>
    </row>
    <row r="272" ht="22" customHeight="1">
      <c r="A272" s="78" t="n">
        <v>271</v>
      </c>
      <c r="B272" s="78" t="inlineStr">
        <is>
          <t>基础资料</t>
        </is>
      </c>
      <c r="C272" s="78" t="inlineStr">
        <is>
          <t>仓库</t>
        </is>
      </c>
      <c r="D272" s="78" t="inlineStr">
        <is>
          <t>主表</t>
        </is>
      </c>
      <c r="E272" s="78" t="inlineStr">
        <is>
          <t>name</t>
        </is>
      </c>
      <c r="F272" s="78" t="inlineStr">
        <is>
          <t>名称</t>
        </is>
      </c>
      <c r="G272" s="78" t="inlineStr">
        <is>
          <t>文本</t>
        </is>
      </c>
      <c r="H272" s="78" t="inlineStr">
        <is>
          <t>是</t>
        </is>
      </c>
      <c r="I272" s="78" t="inlineStr"/>
    </row>
    <row r="273" ht="22" customHeight="1">
      <c r="A273" s="78" t="n">
        <v>272</v>
      </c>
      <c r="B273" s="78" t="inlineStr">
        <is>
          <t>基础资料</t>
        </is>
      </c>
      <c r="C273" s="78" t="inlineStr">
        <is>
          <t>仓库</t>
        </is>
      </c>
      <c r="D273" s="78" t="inlineStr">
        <is>
          <t>主表</t>
        </is>
      </c>
      <c r="E273" s="78" t="inlineStr">
        <is>
          <t>status</t>
        </is>
      </c>
      <c r="F273" s="78" t="inlineStr">
        <is>
          <t>状态</t>
        </is>
      </c>
      <c r="G273" s="78" t="inlineStr">
        <is>
          <t>文本</t>
        </is>
      </c>
      <c r="H273" s="78" t="inlineStr">
        <is>
          <t>否</t>
        </is>
      </c>
      <c r="I273" s="78" t="inlineStr">
        <is>
          <t>启用 / 停用</t>
        </is>
      </c>
    </row>
    <row r="274" ht="22" customHeight="1">
      <c r="A274" s="78" t="n">
        <v>273</v>
      </c>
      <c r="B274" s="78" t="inlineStr">
        <is>
          <t>基础资料</t>
        </is>
      </c>
      <c r="C274" s="78" t="inlineStr">
        <is>
          <t>仓库</t>
        </is>
      </c>
      <c r="D274" s="78" t="inlineStr">
        <is>
          <t>主表</t>
        </is>
      </c>
      <c r="E274" s="78" t="inlineStr">
        <is>
          <t>remark</t>
        </is>
      </c>
      <c r="F274" s="78" t="inlineStr">
        <is>
          <t>备注</t>
        </is>
      </c>
      <c r="G274" s="78" t="inlineStr">
        <is>
          <t>文本</t>
        </is>
      </c>
      <c r="H274" s="78" t="inlineStr">
        <is>
          <t>否</t>
        </is>
      </c>
      <c r="I274" s="78" t="inlineStr"/>
    </row>
    <row r="275" ht="22" customHeight="1">
      <c r="A275" s="78" t="n">
        <v>274</v>
      </c>
      <c r="B275" s="78" t="inlineStr">
        <is>
          <t>基础资料</t>
        </is>
      </c>
      <c r="C275" s="78" t="inlineStr">
        <is>
          <t>HS Code库</t>
        </is>
      </c>
      <c r="D275" s="78" t="inlineStr">
        <is>
          <t>主表</t>
        </is>
      </c>
      <c r="E275" s="78" t="inlineStr">
        <is>
          <t>hs_code</t>
        </is>
      </c>
      <c r="F275" s="78" t="inlineStr">
        <is>
          <t>HS Code</t>
        </is>
      </c>
      <c r="G275" s="78" t="inlineStr">
        <is>
          <t>文本</t>
        </is>
      </c>
      <c r="H275" s="78" t="inlineStr">
        <is>
          <t>是</t>
        </is>
      </c>
      <c r="I275" s="78" t="inlineStr">
        <is>
          <t>公司内唯一</t>
        </is>
      </c>
    </row>
    <row r="276" ht="22" customHeight="1">
      <c r="A276" s="78" t="n">
        <v>275</v>
      </c>
      <c r="B276" s="78" t="inlineStr">
        <is>
          <t>基础资料</t>
        </is>
      </c>
      <c r="C276" s="78" t="inlineStr">
        <is>
          <t>HS Code库</t>
        </is>
      </c>
      <c r="D276" s="78" t="inlineStr">
        <is>
          <t>主表</t>
        </is>
      </c>
      <c r="E276" s="78" t="inlineStr">
        <is>
          <t>declaration_name</t>
        </is>
      </c>
      <c r="F276" s="78" t="inlineStr">
        <is>
          <t>申报名称</t>
        </is>
      </c>
      <c r="G276" s="78" t="inlineStr">
        <is>
          <t>文本</t>
        </is>
      </c>
      <c r="H276" s="78" t="inlineStr">
        <is>
          <t>是</t>
        </is>
      </c>
      <c r="I276" s="78" t="inlineStr"/>
    </row>
    <row r="277" ht="22" customHeight="1">
      <c r="A277" s="78" t="n">
        <v>276</v>
      </c>
      <c r="B277" s="78" t="inlineStr">
        <is>
          <t>基础资料</t>
        </is>
      </c>
      <c r="C277" s="78" t="inlineStr">
        <is>
          <t>HS Code库</t>
        </is>
      </c>
      <c r="D277" s="78" t="inlineStr">
        <is>
          <t>主表</t>
        </is>
      </c>
      <c r="E277" s="78" t="inlineStr">
        <is>
          <t>product_name</t>
        </is>
      </c>
      <c r="F277" s="78" t="inlineStr">
        <is>
          <t>产品名称</t>
        </is>
      </c>
      <c r="G277" s="78" t="inlineStr">
        <is>
          <t>文本</t>
        </is>
      </c>
      <c r="H277" s="78" t="inlineStr">
        <is>
          <t>否</t>
        </is>
      </c>
      <c r="I277" s="78" t="inlineStr"/>
    </row>
    <row r="278" ht="22" customHeight="1">
      <c r="A278" s="78" t="n">
        <v>277</v>
      </c>
      <c r="B278" s="78" t="inlineStr">
        <is>
          <t>基础资料</t>
        </is>
      </c>
      <c r="C278" s="78" t="inlineStr">
        <is>
          <t>HS Code库</t>
        </is>
      </c>
      <c r="D278" s="78" t="inlineStr">
        <is>
          <t>主表</t>
        </is>
      </c>
      <c r="E278" s="78" t="inlineStr">
        <is>
          <t>specification</t>
        </is>
      </c>
      <c r="F278" s="78" t="inlineStr">
        <is>
          <t>申报规格</t>
        </is>
      </c>
      <c r="G278" s="78" t="inlineStr">
        <is>
          <t>文本</t>
        </is>
      </c>
      <c r="H278" s="78" t="inlineStr">
        <is>
          <t>否</t>
        </is>
      </c>
      <c r="I278" s="78" t="inlineStr"/>
    </row>
    <row r="279" ht="22" customHeight="1">
      <c r="A279" s="78" t="n">
        <v>278</v>
      </c>
      <c r="B279" s="78" t="inlineStr">
        <is>
          <t>基础资料</t>
        </is>
      </c>
      <c r="C279" s="78" t="inlineStr">
        <is>
          <t>HS Code库</t>
        </is>
      </c>
      <c r="D279" s="78" t="inlineStr">
        <is>
          <t>主表</t>
        </is>
      </c>
      <c r="E279" s="78" t="inlineStr">
        <is>
          <t>declaration_elements</t>
        </is>
      </c>
      <c r="F279" s="78" t="inlineStr">
        <is>
          <t>报关要素</t>
        </is>
      </c>
      <c r="G279" s="78" t="inlineStr">
        <is>
          <t>文本</t>
        </is>
      </c>
      <c r="H279" s="78" t="inlineStr">
        <is>
          <t>否</t>
        </is>
      </c>
      <c r="I279" s="78" t="inlineStr"/>
    </row>
    <row r="280" ht="22" customHeight="1">
      <c r="A280" s="78" t="n">
        <v>279</v>
      </c>
      <c r="B280" s="78" t="inlineStr">
        <is>
          <t>基础资料</t>
        </is>
      </c>
      <c r="C280" s="78" t="inlineStr">
        <is>
          <t>HS Code库</t>
        </is>
      </c>
      <c r="D280" s="78" t="inlineStr">
        <is>
          <t>主表</t>
        </is>
      </c>
      <c r="E280" s="78" t="inlineStr">
        <is>
          <t>description</t>
        </is>
      </c>
      <c r="F280" s="78" t="inlineStr">
        <is>
          <t>描述</t>
        </is>
      </c>
      <c r="G280" s="78" t="inlineStr">
        <is>
          <t>文本</t>
        </is>
      </c>
      <c r="H280" s="78" t="inlineStr">
        <is>
          <t>否</t>
        </is>
      </c>
      <c r="I280" s="78" t="inlineStr"/>
    </row>
    <row r="281" ht="22" customHeight="1">
      <c r="A281" s="78" t="n">
        <v>280</v>
      </c>
      <c r="B281" s="78" t="inlineStr">
        <is>
          <t>基础资料</t>
        </is>
      </c>
      <c r="C281" s="78" t="inlineStr">
        <is>
          <t>HS Code库</t>
        </is>
      </c>
      <c r="D281" s="78" t="inlineStr">
        <is>
          <t>主表</t>
        </is>
      </c>
      <c r="E281" s="78" t="inlineStr">
        <is>
          <t>status</t>
        </is>
      </c>
      <c r="F281" s="78" t="inlineStr">
        <is>
          <t>状态</t>
        </is>
      </c>
      <c r="G281" s="78" t="inlineStr">
        <is>
          <t>文本</t>
        </is>
      </c>
      <c r="H281" s="78" t="inlineStr">
        <is>
          <t>否</t>
        </is>
      </c>
      <c r="I281" s="78" t="inlineStr">
        <is>
          <t>启用 / 停用</t>
        </is>
      </c>
    </row>
    <row r="282" ht="22" customHeight="1">
      <c r="A282" s="78" t="n">
        <v>281</v>
      </c>
      <c r="B282" s="78" t="inlineStr">
        <is>
          <t>基础资料</t>
        </is>
      </c>
      <c r="C282" s="78" t="inlineStr">
        <is>
          <t>汇率库</t>
        </is>
      </c>
      <c r="D282" s="78" t="inlineStr">
        <is>
          <t>主表</t>
        </is>
      </c>
      <c r="E282" s="78" t="inlineStr">
        <is>
          <t>year</t>
        </is>
      </c>
      <c r="F282" s="78" t="inlineStr">
        <is>
          <t>年</t>
        </is>
      </c>
      <c r="G282" s="78" t="inlineStr">
        <is>
          <t>整数</t>
        </is>
      </c>
      <c r="H282" s="78" t="inlineStr">
        <is>
          <t>是</t>
        </is>
      </c>
      <c r="I282" s="78" t="inlineStr"/>
    </row>
    <row r="283" ht="22" customHeight="1">
      <c r="A283" s="78" t="n">
        <v>282</v>
      </c>
      <c r="B283" s="78" t="inlineStr">
        <is>
          <t>基础资料</t>
        </is>
      </c>
      <c r="C283" s="78" t="inlineStr">
        <is>
          <t>汇率库</t>
        </is>
      </c>
      <c r="D283" s="78" t="inlineStr">
        <is>
          <t>主表</t>
        </is>
      </c>
      <c r="E283" s="78" t="inlineStr">
        <is>
          <t>month</t>
        </is>
      </c>
      <c r="F283" s="78" t="inlineStr">
        <is>
          <t>月</t>
        </is>
      </c>
      <c r="G283" s="78" t="inlineStr">
        <is>
          <t>整数</t>
        </is>
      </c>
      <c r="H283" s="78" t="inlineStr">
        <is>
          <t>是</t>
        </is>
      </c>
      <c r="I283" s="78" t="inlineStr"/>
    </row>
    <row r="284" ht="22" customHeight="1">
      <c r="A284" s="78" t="n">
        <v>283</v>
      </c>
      <c r="B284" s="78" t="inlineStr">
        <is>
          <t>基础资料</t>
        </is>
      </c>
      <c r="C284" s="78" t="inlineStr">
        <is>
          <t>汇率库</t>
        </is>
      </c>
      <c r="D284" s="78" t="inlineStr">
        <is>
          <t>主表</t>
        </is>
      </c>
      <c r="E284" s="78" t="inlineStr">
        <is>
          <t>currency</t>
        </is>
      </c>
      <c r="F284" s="78" t="inlineStr">
        <is>
          <t>币种</t>
        </is>
      </c>
      <c r="G284" s="78" t="inlineStr">
        <is>
          <t>文本</t>
        </is>
      </c>
      <c r="H284" s="78" t="inlineStr">
        <is>
          <t>否</t>
        </is>
      </c>
      <c r="I284" s="78" t="inlineStr">
        <is>
          <t>USD/CNY 等</t>
        </is>
      </c>
    </row>
    <row r="285" ht="22" customHeight="1">
      <c r="A285" s="78" t="n">
        <v>284</v>
      </c>
      <c r="B285" s="78" t="inlineStr">
        <is>
          <t>基础资料</t>
        </is>
      </c>
      <c r="C285" s="78" t="inlineStr">
        <is>
          <t>汇率库</t>
        </is>
      </c>
      <c r="D285" s="78" t="inlineStr">
        <is>
          <t>主表</t>
        </is>
      </c>
      <c r="E285" s="78" t="inlineStr">
        <is>
          <t>rate</t>
        </is>
      </c>
      <c r="F285" s="78" t="inlineStr">
        <is>
          <t>汇率</t>
        </is>
      </c>
      <c r="G285" s="78" t="inlineStr">
        <is>
          <t>文本</t>
        </is>
      </c>
      <c r="H285" s="78" t="inlineStr">
        <is>
          <t>是</t>
        </is>
      </c>
      <c r="I285" s="78" t="inlineStr">
        <is>
          <t>大于 0</t>
        </is>
      </c>
    </row>
    <row r="286" ht="22" customHeight="1">
      <c r="A286" s="78" t="n">
        <v>285</v>
      </c>
      <c r="B286" s="78" t="inlineStr">
        <is>
          <t>基础资料</t>
        </is>
      </c>
      <c r="C286" s="78" t="inlineStr">
        <is>
          <t>汇率库</t>
        </is>
      </c>
      <c r="D286" s="78" t="inlineStr">
        <is>
          <t>主表</t>
        </is>
      </c>
      <c r="E286" s="78" t="inlineStr">
        <is>
          <t>effective_date</t>
        </is>
      </c>
      <c r="F286" s="78" t="inlineStr">
        <is>
          <t>生效日期</t>
        </is>
      </c>
      <c r="G286" s="78" t="inlineStr">
        <is>
          <t>日期</t>
        </is>
      </c>
      <c r="H286" s="78" t="inlineStr">
        <is>
          <t>否</t>
        </is>
      </c>
      <c r="I286" s="78" t="inlineStr"/>
    </row>
    <row r="287" ht="22" customHeight="1">
      <c r="A287" s="78" t="n">
        <v>286</v>
      </c>
      <c r="B287" s="78" t="inlineStr">
        <is>
          <t>基础资料</t>
        </is>
      </c>
      <c r="C287" s="78" t="inlineStr">
        <is>
          <t>编号规则</t>
        </is>
      </c>
      <c r="D287" s="78" t="inlineStr">
        <is>
          <t>主表</t>
        </is>
      </c>
      <c r="E287" s="78" t="inlineStr">
        <is>
          <t>pool_key</t>
        </is>
      </c>
      <c r="F287" s="78" t="inlineStr">
        <is>
          <t>编号池</t>
        </is>
      </c>
      <c r="G287" s="78" t="inlineStr">
        <is>
          <t>文本</t>
        </is>
      </c>
      <c r="H287" s="78" t="inlineStr">
        <is>
          <t>是</t>
        </is>
      </c>
      <c r="I287" s="78" t="inlineStr">
        <is>
          <t>contract_mn/contract_al/invoice_*</t>
        </is>
      </c>
    </row>
    <row r="288" ht="22" customHeight="1">
      <c r="A288" s="78" t="n">
        <v>287</v>
      </c>
      <c r="B288" s="78" t="inlineStr">
        <is>
          <t>基础资料</t>
        </is>
      </c>
      <c r="C288" s="78" t="inlineStr">
        <is>
          <t>编号规则</t>
        </is>
      </c>
      <c r="D288" s="78" t="inlineStr">
        <is>
          <t>主表</t>
        </is>
      </c>
      <c r="E288" s="78" t="inlineStr">
        <is>
          <t>label</t>
        </is>
      </c>
      <c r="F288" s="78" t="inlineStr">
        <is>
          <t>单据名称</t>
        </is>
      </c>
      <c r="G288" s="78" t="inlineStr">
        <is>
          <t>文本</t>
        </is>
      </c>
      <c r="H288" s="78" t="inlineStr">
        <is>
          <t>是</t>
        </is>
      </c>
      <c r="I288" s="78" t="inlineStr"/>
    </row>
    <row r="289" ht="22" customHeight="1">
      <c r="A289" s="78" t="n">
        <v>288</v>
      </c>
      <c r="B289" s="78" t="inlineStr">
        <is>
          <t>基础资料</t>
        </is>
      </c>
      <c r="C289" s="78" t="inlineStr">
        <is>
          <t>编号规则</t>
        </is>
      </c>
      <c r="D289" s="78" t="inlineStr">
        <is>
          <t>主表</t>
        </is>
      </c>
      <c r="E289" s="78" t="inlineStr">
        <is>
          <t>prefix</t>
        </is>
      </c>
      <c r="F289" s="78" t="inlineStr">
        <is>
          <t>前缀</t>
        </is>
      </c>
      <c r="G289" s="78" t="inlineStr">
        <is>
          <t>文本</t>
        </is>
      </c>
      <c r="H289" s="78" t="inlineStr">
        <is>
          <t>否</t>
        </is>
      </c>
      <c r="I289" s="78" t="inlineStr">
        <is>
          <t>改名只改这里</t>
        </is>
      </c>
    </row>
    <row r="290" ht="22" customHeight="1">
      <c r="A290" s="78" t="n">
        <v>289</v>
      </c>
      <c r="B290" s="78" t="inlineStr">
        <is>
          <t>基础资料</t>
        </is>
      </c>
      <c r="C290" s="78" t="inlineStr">
        <is>
          <t>编号规则</t>
        </is>
      </c>
      <c r="D290" s="78" t="inlineStr">
        <is>
          <t>主表</t>
        </is>
      </c>
      <c r="E290" s="78" t="inlineStr">
        <is>
          <t>year_digits</t>
        </is>
      </c>
      <c r="F290" s="78" t="inlineStr">
        <is>
          <t>年份位数</t>
        </is>
      </c>
      <c r="G290" s="78" t="inlineStr">
        <is>
          <t>整数</t>
        </is>
      </c>
      <c r="H290" s="78" t="inlineStr">
        <is>
          <t>是</t>
        </is>
      </c>
      <c r="I290" s="78" t="inlineStr">
        <is>
          <t>2 或 4</t>
        </is>
      </c>
    </row>
    <row r="291" ht="22" customHeight="1">
      <c r="A291" s="78" t="n">
        <v>290</v>
      </c>
      <c r="B291" s="78" t="inlineStr">
        <is>
          <t>基础资料</t>
        </is>
      </c>
      <c r="C291" s="78" t="inlineStr">
        <is>
          <t>编号规则</t>
        </is>
      </c>
      <c r="D291" s="78" t="inlineStr">
        <is>
          <t>主表</t>
        </is>
      </c>
      <c r="E291" s="78" t="inlineStr">
        <is>
          <t>seq_width</t>
        </is>
      </c>
      <c r="F291" s="78" t="inlineStr">
        <is>
          <t>序号位数</t>
        </is>
      </c>
      <c r="G291" s="78" t="inlineStr">
        <is>
          <t>整数</t>
        </is>
      </c>
      <c r="H291" s="78" t="inlineStr">
        <is>
          <t>是</t>
        </is>
      </c>
      <c r="I291" s="78" t="inlineStr">
        <is>
          <t>1–8</t>
        </is>
      </c>
    </row>
    <row r="292" ht="22" customHeight="1">
      <c r="A292" s="78" t="n">
        <v>291</v>
      </c>
      <c r="B292" s="78" t="inlineStr">
        <is>
          <t>基础资料</t>
        </is>
      </c>
      <c r="C292" s="78" t="inlineStr">
        <is>
          <t>编号规则</t>
        </is>
      </c>
      <c r="D292" s="78" t="inlineStr">
        <is>
          <t>主表</t>
        </is>
      </c>
      <c r="E292" s="78" t="inlineStr">
        <is>
          <t>suffix</t>
        </is>
      </c>
      <c r="F292" s="78" t="inlineStr">
        <is>
          <t>后缀</t>
        </is>
      </c>
      <c r="G292" s="78" t="inlineStr">
        <is>
          <t>文本</t>
        </is>
      </c>
      <c r="H292" s="78" t="inlineStr">
        <is>
          <t>否</t>
        </is>
      </c>
      <c r="I292" s="78" t="inlineStr">
        <is>
          <t>如 S/A</t>
        </is>
      </c>
    </row>
    <row r="293" ht="22" customHeight="1">
      <c r="A293" s="78" t="n">
        <v>292</v>
      </c>
      <c r="B293" s="78" t="inlineStr">
        <is>
          <t>基础资料</t>
        </is>
      </c>
      <c r="C293" s="78" t="inlineStr">
        <is>
          <t>编号规则</t>
        </is>
      </c>
      <c r="D293" s="78" t="inlineStr">
        <is>
          <t>主表</t>
        </is>
      </c>
      <c r="E293" s="78" t="inlineStr">
        <is>
          <t>enabled</t>
        </is>
      </c>
      <c r="F293" s="78" t="inlineStr">
        <is>
          <t>启用</t>
        </is>
      </c>
      <c r="G293" s="78" t="inlineStr">
        <is>
          <t>是否</t>
        </is>
      </c>
      <c r="H293" s="78" t="inlineStr">
        <is>
          <t>否</t>
        </is>
      </c>
      <c r="I293" s="78" t="inlineStr">
        <is>
          <t>是/否</t>
        </is>
      </c>
    </row>
    <row r="294" ht="22" customHeight="1">
      <c r="A294" s="78" t="n">
        <v>293</v>
      </c>
      <c r="B294" s="78" t="inlineStr">
        <is>
          <t>基础资料</t>
        </is>
      </c>
      <c r="C294" s="78" t="inlineStr">
        <is>
          <t>编号规则</t>
        </is>
      </c>
      <c r="D294" s="78" t="inlineStr">
        <is>
          <t>主表</t>
        </is>
      </c>
      <c r="E294" s="78" t="inlineStr">
        <is>
          <t>remark</t>
        </is>
      </c>
      <c r="F294" s="78" t="inlineStr">
        <is>
          <t>备注</t>
        </is>
      </c>
      <c r="G294" s="78" t="inlineStr">
        <is>
          <t>文本</t>
        </is>
      </c>
      <c r="H294" s="78" t="inlineStr">
        <is>
          <t>否</t>
        </is>
      </c>
      <c r="I294" s="78" t="inlineStr"/>
    </row>
    <row r="295" ht="22" customHeight="1">
      <c r="A295" s="78" t="n">
        <v>294</v>
      </c>
      <c r="B295" s="78" t="inlineStr">
        <is>
          <t>基础资料</t>
        </is>
      </c>
      <c r="C295" s="78" t="inlineStr">
        <is>
          <t>导出模板</t>
        </is>
      </c>
      <c r="D295" s="78" t="inlineStr">
        <is>
          <t>主表</t>
        </is>
      </c>
      <c r="E295" s="78" t="inlineStr">
        <is>
          <t>doc_code</t>
        </is>
      </c>
      <c r="F295" s="78" t="inlineStr">
        <is>
          <t>单据类型</t>
        </is>
      </c>
      <c r="G295" s="78" t="inlineStr">
        <is>
          <t>文本</t>
        </is>
      </c>
      <c r="H295" s="78" t="inlineStr">
        <is>
          <t>是</t>
        </is>
      </c>
      <c r="I295" s="78" t="inlineStr">
        <is>
          <t>purchase_contract/sale_contract 等</t>
        </is>
      </c>
    </row>
    <row r="296" ht="22" customHeight="1">
      <c r="A296" s="78" t="n">
        <v>295</v>
      </c>
      <c r="B296" s="78" t="inlineStr">
        <is>
          <t>基础资料</t>
        </is>
      </c>
      <c r="C296" s="78" t="inlineStr">
        <is>
          <t>导出模板</t>
        </is>
      </c>
      <c r="D296" s="78" t="inlineStr">
        <is>
          <t>主表</t>
        </is>
      </c>
      <c r="E296" s="78" t="inlineStr">
        <is>
          <t>doc_name</t>
        </is>
      </c>
      <c r="F296" s="78" t="inlineStr">
        <is>
          <t>单据名称</t>
        </is>
      </c>
      <c r="G296" s="78" t="inlineStr">
        <is>
          <t>文本</t>
        </is>
      </c>
      <c r="H296" s="78" t="inlineStr">
        <is>
          <t>是</t>
        </is>
      </c>
      <c r="I296" s="78" t="inlineStr"/>
    </row>
    <row r="297" ht="22" customHeight="1">
      <c r="A297" s="78" t="n">
        <v>296</v>
      </c>
      <c r="B297" s="78" t="inlineStr">
        <is>
          <t>基础资料</t>
        </is>
      </c>
      <c r="C297" s="78" t="inlineStr">
        <is>
          <t>导出模板</t>
        </is>
      </c>
      <c r="D297" s="78" t="inlineStr">
        <is>
          <t>主表</t>
        </is>
      </c>
      <c r="E297" s="78" t="inlineStr">
        <is>
          <t>title</t>
        </is>
      </c>
      <c r="F297" s="78" t="inlineStr">
        <is>
          <t>模板名称</t>
        </is>
      </c>
      <c r="G297" s="78" t="inlineStr">
        <is>
          <t>文本</t>
        </is>
      </c>
      <c r="H297" s="78" t="inlineStr">
        <is>
          <t>否</t>
        </is>
      </c>
      <c r="I297" s="78" t="inlineStr"/>
    </row>
    <row r="298" ht="22" customHeight="1">
      <c r="A298" s="78" t="n">
        <v>297</v>
      </c>
      <c r="B298" s="78" t="inlineStr">
        <is>
          <t>基础资料</t>
        </is>
      </c>
      <c r="C298" s="78" t="inlineStr">
        <is>
          <t>导出模板</t>
        </is>
      </c>
      <c r="D298" s="78" t="inlineStr">
        <is>
          <t>主表</t>
        </is>
      </c>
      <c r="E298" s="78" t="inlineStr">
        <is>
          <t>party_id</t>
        </is>
      </c>
      <c r="F298" s="78" t="inlineStr">
        <is>
          <t>适用客商</t>
        </is>
      </c>
      <c r="G298" s="78" t="inlineStr">
        <is>
          <t>整数</t>
        </is>
      </c>
      <c r="H298" s="78" t="inlineStr">
        <is>
          <t>否</t>
        </is>
      </c>
      <c r="I298" s="78" t="inlineStr">
        <is>
          <t>空为不限</t>
        </is>
      </c>
    </row>
    <row r="299" ht="22" customHeight="1">
      <c r="A299" s="78" t="n">
        <v>298</v>
      </c>
      <c r="B299" s="78" t="inlineStr">
        <is>
          <t>基础资料</t>
        </is>
      </c>
      <c r="C299" s="78" t="inlineStr">
        <is>
          <t>导出模板</t>
        </is>
      </c>
      <c r="D299" s="78" t="inlineStr">
        <is>
          <t>主表</t>
        </is>
      </c>
      <c r="E299" s="78" t="inlineStr">
        <is>
          <t>template_path</t>
        </is>
      </c>
      <c r="F299" s="78" t="inlineStr">
        <is>
          <t>模板绝对地址</t>
        </is>
      </c>
      <c r="G299" s="78" t="inlineStr">
        <is>
          <t>文本</t>
        </is>
      </c>
      <c r="H299" s="78" t="inlineStr">
        <is>
          <t>是</t>
        </is>
      </c>
      <c r="I299" s="78" t="inlineStr"/>
    </row>
    <row r="300" ht="22" customHeight="1">
      <c r="A300" s="78" t="n">
        <v>299</v>
      </c>
      <c r="B300" s="78" t="inlineStr">
        <is>
          <t>基础资料</t>
        </is>
      </c>
      <c r="C300" s="78" t="inlineStr">
        <is>
          <t>导出模板</t>
        </is>
      </c>
      <c r="D300" s="78" t="inlineStr">
        <is>
          <t>主表</t>
        </is>
      </c>
      <c r="E300" s="78" t="inlineStr">
        <is>
          <t>name_rule</t>
        </is>
      </c>
      <c r="F300" s="78" t="inlineStr">
        <is>
          <t>导出名称规则</t>
        </is>
      </c>
      <c r="G300" s="78" t="inlineStr">
        <is>
          <t>文本</t>
        </is>
      </c>
      <c r="H300" s="78" t="inlineStr">
        <is>
          <t>否</t>
        </is>
      </c>
      <c r="I300" s="78" t="inlineStr">
        <is>
          <t>支持 {{字段}}</t>
        </is>
      </c>
    </row>
    <row r="301" ht="22" customHeight="1">
      <c r="A301" s="78" t="n">
        <v>300</v>
      </c>
      <c r="B301" s="78" t="inlineStr">
        <is>
          <t>基础资料</t>
        </is>
      </c>
      <c r="C301" s="78" t="inlineStr">
        <is>
          <t>导出模板</t>
        </is>
      </c>
      <c r="D301" s="78" t="inlineStr">
        <is>
          <t>主表</t>
        </is>
      </c>
      <c r="E301" s="78" t="inlineStr">
        <is>
          <t>sort_no</t>
        </is>
      </c>
      <c r="F301" s="78" t="inlineStr">
        <is>
          <t>排序</t>
        </is>
      </c>
      <c r="G301" s="78" t="inlineStr">
        <is>
          <t>整数</t>
        </is>
      </c>
      <c r="H301" s="78" t="inlineStr">
        <is>
          <t>否</t>
        </is>
      </c>
      <c r="I301" s="78" t="inlineStr"/>
    </row>
    <row r="302" ht="22" customHeight="1">
      <c r="A302" s="78" t="n">
        <v>301</v>
      </c>
      <c r="B302" s="78" t="inlineStr">
        <is>
          <t>组织管理</t>
        </is>
      </c>
      <c r="C302" s="78" t="inlineStr">
        <is>
          <t>用户</t>
        </is>
      </c>
      <c r="D302" s="78" t="inlineStr">
        <is>
          <t>主表</t>
        </is>
      </c>
      <c r="E302" s="78" t="inlineStr">
        <is>
          <t>employee_id</t>
        </is>
      </c>
      <c r="F302" s="78" t="inlineStr">
        <is>
          <t>员工编号</t>
        </is>
      </c>
      <c r="G302" s="78" t="inlineStr">
        <is>
          <t>文本</t>
        </is>
      </c>
      <c r="H302" s="78" t="inlineStr">
        <is>
          <t>是</t>
        </is>
      </c>
      <c r="I302" s="78" t="inlineStr">
        <is>
          <t>全局唯一</t>
        </is>
      </c>
    </row>
    <row r="303" ht="22" customHeight="1">
      <c r="A303" s="78" t="n">
        <v>302</v>
      </c>
      <c r="B303" s="78" t="inlineStr">
        <is>
          <t>组织管理</t>
        </is>
      </c>
      <c r="C303" s="78" t="inlineStr">
        <is>
          <t>用户</t>
        </is>
      </c>
      <c r="D303" s="78" t="inlineStr">
        <is>
          <t>主表</t>
        </is>
      </c>
      <c r="E303" s="78" t="inlineStr">
        <is>
          <t>login_name</t>
        </is>
      </c>
      <c r="F303" s="78" t="inlineStr">
        <is>
          <t>登录名</t>
        </is>
      </c>
      <c r="G303" s="78" t="inlineStr">
        <is>
          <t>文本</t>
        </is>
      </c>
      <c r="H303" s="78" t="inlineStr">
        <is>
          <t>是</t>
        </is>
      </c>
      <c r="I303" s="78" t="inlineStr">
        <is>
          <t>唯一</t>
        </is>
      </c>
    </row>
    <row r="304" ht="22" customHeight="1">
      <c r="A304" s="78" t="n">
        <v>303</v>
      </c>
      <c r="B304" s="78" t="inlineStr">
        <is>
          <t>组织管理</t>
        </is>
      </c>
      <c r="C304" s="78" t="inlineStr">
        <is>
          <t>用户</t>
        </is>
      </c>
      <c r="D304" s="78" t="inlineStr">
        <is>
          <t>主表</t>
        </is>
      </c>
      <c r="E304" s="78" t="inlineStr">
        <is>
          <t>name</t>
        </is>
      </c>
      <c r="F304" s="78" t="inlineStr">
        <is>
          <t>中文姓名</t>
        </is>
      </c>
      <c r="G304" s="78" t="inlineStr">
        <is>
          <t>文本</t>
        </is>
      </c>
      <c r="H304" s="78" t="inlineStr">
        <is>
          <t>是</t>
        </is>
      </c>
      <c r="I304" s="78" t="inlineStr"/>
    </row>
    <row r="305" ht="22" customHeight="1">
      <c r="A305" s="78" t="n">
        <v>304</v>
      </c>
      <c r="B305" s="78" t="inlineStr">
        <is>
          <t>组织管理</t>
        </is>
      </c>
      <c r="C305" s="78" t="inlineStr">
        <is>
          <t>用户</t>
        </is>
      </c>
      <c r="D305" s="78" t="inlineStr">
        <is>
          <t>主表</t>
        </is>
      </c>
      <c r="E305" s="78" t="inlineStr">
        <is>
          <t>password</t>
        </is>
      </c>
      <c r="F305" s="78" t="inlineStr">
        <is>
          <t>初始密码</t>
        </is>
      </c>
      <c r="G305" s="78" t="inlineStr">
        <is>
          <t>文本</t>
        </is>
      </c>
      <c r="H305" s="78" t="inlineStr">
        <is>
          <t>否</t>
        </is>
      </c>
      <c r="I305" s="78" t="inlineStr">
        <is>
          <t>仅新增；空则 123456</t>
        </is>
      </c>
    </row>
    <row r="306" ht="22" customHeight="1">
      <c r="A306" s="78" t="n">
        <v>305</v>
      </c>
      <c r="B306" s="78" t="inlineStr">
        <is>
          <t>组织管理</t>
        </is>
      </c>
      <c r="C306" s="78" t="inlineStr">
        <is>
          <t>用户</t>
        </is>
      </c>
      <c r="D306" s="78" t="inlineStr">
        <is>
          <t>主表</t>
        </is>
      </c>
      <c r="E306" s="78" t="inlineStr">
        <is>
          <t>role_text</t>
        </is>
      </c>
      <c r="F306" s="78" t="inlineStr">
        <is>
          <t>角色文本</t>
        </is>
      </c>
      <c r="G306" s="78" t="inlineStr">
        <is>
          <t>文本</t>
        </is>
      </c>
      <c r="H306" s="78" t="inlineStr">
        <is>
          <t>否</t>
        </is>
      </c>
      <c r="I306" s="78" t="inlineStr">
        <is>
          <t>不控制权限</t>
        </is>
      </c>
    </row>
    <row r="307" ht="22" customHeight="1">
      <c r="A307" s="78" t="n">
        <v>306</v>
      </c>
      <c r="B307" s="78" t="inlineStr">
        <is>
          <t>组织管理</t>
        </is>
      </c>
      <c r="C307" s="78" t="inlineStr">
        <is>
          <t>用户</t>
        </is>
      </c>
      <c r="D307" s="78" t="inlineStr">
        <is>
          <t>主表</t>
        </is>
      </c>
      <c r="E307" s="78" t="inlineStr">
        <is>
          <t>status</t>
        </is>
      </c>
      <c r="F307" s="78" t="inlineStr">
        <is>
          <t>状态</t>
        </is>
      </c>
      <c r="G307" s="78" t="inlineStr">
        <is>
          <t>文本</t>
        </is>
      </c>
      <c r="H307" s="78" t="inlineStr">
        <is>
          <t>否</t>
        </is>
      </c>
      <c r="I307" s="78" t="inlineStr">
        <is>
          <t>启用 / 停用</t>
        </is>
      </c>
    </row>
    <row r="308" ht="22" customHeight="1">
      <c r="A308" s="78" t="n">
        <v>307</v>
      </c>
      <c r="B308" s="78" t="inlineStr">
        <is>
          <t>组织管理</t>
        </is>
      </c>
      <c r="C308" s="78" t="inlineStr">
        <is>
          <t>用户</t>
        </is>
      </c>
      <c r="D308" s="78" t="inlineStr">
        <is>
          <t>主表</t>
        </is>
      </c>
      <c r="E308" s="78" t="inlineStr">
        <is>
          <t>is_super_admin</t>
        </is>
      </c>
      <c r="F308" s="78" t="inlineStr">
        <is>
          <t>超级管理员</t>
        </is>
      </c>
      <c r="G308" s="78" t="inlineStr">
        <is>
          <t>是否</t>
        </is>
      </c>
      <c r="H308" s="78" t="inlineStr">
        <is>
          <t>否</t>
        </is>
      </c>
      <c r="I308" s="78" t="inlineStr">
        <is>
          <t>仅 admin</t>
        </is>
      </c>
    </row>
    <row r="309" ht="22" customHeight="1">
      <c r="A309" s="78" t="n">
        <v>308</v>
      </c>
      <c r="B309" s="78" t="inlineStr">
        <is>
          <t>组织管理</t>
        </is>
      </c>
      <c r="C309" s="78" t="inlineStr">
        <is>
          <t>用户</t>
        </is>
      </c>
      <c r="D309" s="78" t="inlineStr">
        <is>
          <t>主表</t>
        </is>
      </c>
      <c r="E309" s="78" t="inlineStr">
        <is>
          <t>can_import_overwrite</t>
        </is>
      </c>
      <c r="F309" s="78" t="inlineStr">
        <is>
          <t>导入覆盖</t>
        </is>
      </c>
      <c r="G309" s="78" t="inlineStr">
        <is>
          <t>是否</t>
        </is>
      </c>
      <c r="H309" s="78" t="inlineStr">
        <is>
          <t>否</t>
        </is>
      </c>
      <c r="I309" s="78" t="inlineStr">
        <is>
          <t>是否允许覆盖他人记录</t>
        </is>
      </c>
    </row>
  </sheetData>
  <autoFilter ref="A1:I309"/>
  <pageMargins left="0.75" right="0.75" top="1" bottom="1" header="0.5" footer="0.5"/>
</worksheet>
</file>

<file path=xl/worksheets/sheet29.xml><?xml version="1.0" encoding="utf-8"?>
<worksheet xmlns="http://schemas.openxmlformats.org/spreadsheetml/2006/main">
  <sheetPr>
    <tabColor rgb="00548235"/>
    <outlinePr summaryBelow="1" summaryRight="1"/>
    <pageSetUpPr/>
  </sheetPr>
  <dimension ref="A1:B17"/>
  <sheetViews>
    <sheetView showGridLines="0" workbookViewId="0">
      <pane ySplit="1" topLeftCell="A2" activePane="bottomLeft" state="frozen"/>
      <selection pane="bottomLeft" activeCell="A1" sqref="A1"/>
    </sheetView>
  </sheetViews>
  <sheetFormatPr baseColWidth="8" defaultRowHeight="15"/>
  <cols>
    <col width="24" customWidth="1" min="1" max="1"/>
    <col width="130" customWidth="1" min="2" max="2"/>
  </cols>
  <sheetData>
    <row r="1" ht="30" customHeight="1">
      <c r="A1" s="77" t="inlineStr">
        <is>
          <t>项目</t>
        </is>
      </c>
      <c r="B1" s="77" t="inlineStr">
        <is>
          <t>说明</t>
        </is>
      </c>
    </row>
    <row r="2" ht="30" customHeight="1">
      <c r="A2" s="78" t="inlineStr">
        <is>
          <t>梳理对象</t>
        </is>
      </c>
      <c r="B2" s="78" t="inlineStr">
        <is>
          <t>合同管理系统中当前常用、且有数据的表单/台账</t>
        </is>
      </c>
    </row>
    <row r="3" ht="30" customHeight="1">
      <c r="A3" s="78" t="inlineStr">
        <is>
          <t>数据源</t>
        </is>
      </c>
      <c r="B3" s="78" t="inlineStr">
        <is>
          <t>data/contract.db 当前库（只读统计）</t>
        </is>
      </c>
    </row>
    <row r="4" ht="30" customHeight="1">
      <c r="A4" s="78" t="inlineStr">
        <is>
          <t>梳理时间</t>
        </is>
      </c>
      <c r="B4" s="78" t="inlineStr">
        <is>
          <t>2026-10-21</t>
        </is>
      </c>
    </row>
    <row r="5" ht="30" customHeight="1">
      <c r="A5" s="78" t="inlineStr">
        <is>
          <t>接口风格</t>
        </is>
      </c>
      <c r="B5" s="78" t="inlineStr">
        <is>
          <t>REST + JSON，统一前缀 /api；登录使用 Authorization: Bearer {token}</t>
        </is>
      </c>
    </row>
    <row r="6" ht="30" customHeight="1">
      <c r="A6" s="78" t="inlineStr">
        <is>
          <t>响应结构</t>
        </is>
      </c>
      <c r="B6" s="78" t="inlineStr">
        <is>
          <t>成功 {code:0,message:'ok',data:...}；列表 data={items,total,page,pageSize}</t>
        </is>
      </c>
    </row>
    <row r="7" ht="30" customHeight="1">
      <c r="A7" s="78" t="inlineStr">
        <is>
          <t>分页</t>
        </is>
      </c>
      <c r="B7" s="78" t="inlineStr">
        <is>
          <t>page 从 1 开始，pageSize 默认 50，最大 500</t>
        </is>
      </c>
    </row>
    <row r="8" ht="30" customHeight="1">
      <c r="A8" s="78" t="inlineStr">
        <is>
          <t>并发</t>
        </is>
      </c>
      <c r="B8" s="78" t="inlineStr">
        <is>
          <t>修改/删除带 version；单条删除用 ?version=；批量删除 items=[{id,version}]</t>
        </is>
      </c>
    </row>
    <row r="9" ht="30" customHeight="1">
      <c r="A9" s="78" t="inlineStr">
        <is>
          <t>公司隔离</t>
        </is>
      </c>
      <c r="B9" s="78" t="inlineStr">
        <is>
          <t>服务端从 token 取当前公司；company_id 只做一致性校验</t>
        </is>
      </c>
    </row>
    <row r="10" ht="30" customHeight="1">
      <c r="A10" s="78" t="inlineStr">
        <is>
          <t>公共字段</t>
        </is>
      </c>
      <c r="B10" s="78" t="inlineStr">
        <is>
          <t>除系统表外业务表均带 id、company_id、created_by/at、updated_by/at、version、deleted_at/by、reserve1-3；字段清单不重复列出</t>
        </is>
      </c>
    </row>
    <row r="11" ht="30" customHeight="1">
      <c r="A11" s="78" t="inlineStr">
        <is>
          <t>列表展示字段</t>
        </is>
      </c>
      <c r="B11" s="78" t="inlineStr">
        <is>
          <t>列表常额外返回 party_code/party_name、created_by_name、pay_status、stage_text 等展示字段，不落库</t>
        </is>
      </c>
    </row>
    <row r="12" ht="30" customHeight="1">
      <c r="A12" s="78" t="inlineStr">
        <is>
          <t>金额</t>
        </is>
      </c>
      <c r="B12" s="78" t="inlineStr">
        <is>
          <t>接口金额一般是 2 位小数字符串；计算以服务端 Decimal 为准，行价税合计为主值</t>
        </is>
      </c>
    </row>
    <row r="13" ht="30" customHeight="1">
      <c r="A13" s="78" t="inlineStr">
        <is>
          <t>当前有数据的表单</t>
        </is>
      </c>
      <c r="B13" s="78" t="inlineStr">
        <is>
          <t>客商 88、项目 1、采购计划 131、采购合同 11、采购入库 4、库存 4、付款单 11、进项发票 11、报关物料 4、合同编号 112、发票编号 9、HS Code 63、汇率 1、编号规则 5、导出模板 13、用户 5</t>
        </is>
      </c>
    </row>
    <row r="14" ht="30" customHeight="1">
      <c r="A14" s="78" t="inlineStr">
        <is>
          <t>当前无数据/未展开</t>
        </is>
      </c>
      <c r="B14" s="78" t="inlineStr">
        <is>
          <t>销售合同 0、销售出库 0、收款单 0、销项发票 0、采购订单 0、销售订单 0、其他收入/支出 0、报关发票/清关发票/报关要素 0、调拨/盘点 0、收货入仓 0；接口存在但本次未列字段明细</t>
        </is>
      </c>
    </row>
    <row r="15" ht="30" customHeight="1">
      <c r="A15" s="78" t="inlineStr">
        <is>
          <t>导入导出</t>
        </is>
      </c>
      <c r="B15" s="78" t="inlineStr">
        <is>
          <t>列表导出统一 GET/POST /api/export/{module}；Excel 导入统一 /api/import/{module}/template、/parse、/execute</t>
        </is>
      </c>
    </row>
    <row r="16" ht="30" customHeight="1">
      <c r="A16" s="78" t="inlineStr">
        <is>
          <t>字段说明</t>
        </is>
      </c>
      <c r="B16" s="78" t="inlineStr">
        <is>
          <t>字段名以 API/数据库 snake_case 为准；类型来自 SQLite 列类型，日期通过接口传 YYYY-MM-DD</t>
        </is>
      </c>
    </row>
    <row r="17" ht="30" customHeight="1">
      <c r="A17" s="78" t="inlineStr">
        <is>
          <t>维护建议</t>
        </is>
      </c>
      <c r="B17" s="78" t="inlineStr">
        <is>
          <t>新增业务字段时，先更新模型/接口，再在“字段清单”追加；如该表参与 Excel 导入，同步更新“字段库”和 VB 模板</t>
        </is>
      </c>
    </row>
  </sheetData>
  <autoFilter ref="A1:B17"/>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2026-10-02T12:27:00Z</dcterms:created>
  <dcterms:modified xmlns:dcterms="http://purl.org/dc/terms/" xmlns:xsi="http://www.w3.org/2001/XMLSchema-instance" xsi:type="dcterms:W3CDTF">2026-10-21T05:41:47Z</dcterms:modified>
  <cp:lastModifiedBy>吴柱臻</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B46A84DD74454F30BFE2C762FBA637DA</vt:lpwstr>
  </property>
  <property name="KSOProductBuildVer" fmtid="{D5CDD505-2E9C-101B-9397-08002B2CF9AE}" pid="3">
    <vt:lpwstr xmlns:vt="http://schemas.openxmlformats.org/officeDocument/2006/docPropsVTypes">2052-12.1.0.26899</vt:lpwstr>
  </property>
  <property name="KSOReadingLayout" fmtid="{D5CDD505-2E9C-101B-9397-08002B2CF9AE}" pid="4">
    <vt:bool xmlns:vt="http://schemas.openxmlformats.org/officeDocument/2006/docPropsVTypes">0</vt:bool>
  </property>
  <property name="CalculationRule" fmtid="{D5CDD505-2E9C-101B-9397-08002B2CF9AE}" pid="5">
    <vt:i4 xmlns:vt="http://schemas.openxmlformats.org/officeDocument/2006/docPropsVTypes">0</vt:i4>
  </property>
</Properties>
</file>